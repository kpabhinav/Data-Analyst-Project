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d.docs.live.net/ea21528ed9ee8c3f/Desktop/Data Analyst Learning/Project/"/>
    </mc:Choice>
  </mc:AlternateContent>
  <xr:revisionPtr revIDLastSave="3" documentId="8_{C6F23666-0383-4B8E-9637-87F78753A6D4}" xr6:coauthVersionLast="47" xr6:coauthVersionMax="47" xr10:uidLastSave="{FD302BEE-6D15-4A18-AB6E-5999FC61C829}"/>
  <bookViews>
    <workbookView xWindow="-108" yWindow="-108" windowWidth="23256" windowHeight="12456" activeTab="2" xr2:uid="{26D4546B-D2A1-4444-8EAF-A6228F96F0C1}"/>
  </bookViews>
  <sheets>
    <sheet name="Data" sheetId="2" r:id="rId1"/>
    <sheet name="Assets" sheetId="4" r:id="rId2"/>
    <sheet name="DASHBOARD PROJECT" sheetId="5" r:id="rId3"/>
    <sheet name="Pivots" sheetId="6" r:id="rId4"/>
  </sheets>
  <definedNames>
    <definedName name="_xlnm._FilterDatabase" localSheetId="0"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72" r:id="rId9"/>
    <pivotCache cacheId="75" r:id="rId10"/>
    <pivotCache cacheId="78" r:id="rId11"/>
    <pivotCache cacheId="81" r:id="rId12"/>
    <pivotCache cacheId="8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W23" i="5" l="1"/>
  <c r="W24" i="5"/>
  <c r="W25" i="5"/>
  <c r="W26" i="5"/>
  <c r="W27" i="5"/>
  <c r="W28" i="5"/>
  <c r="W29" i="5"/>
  <c r="W30" i="5"/>
  <c r="W31" i="5"/>
  <c r="W32" i="5"/>
  <c r="W33" i="5"/>
  <c r="W34" i="5"/>
  <c r="W35" i="5"/>
  <c r="W36" i="5"/>
  <c r="W37" i="5"/>
  <c r="W38" i="5"/>
  <c r="W39" i="5"/>
  <c r="W40" i="5"/>
  <c r="V23" i="5"/>
  <c r="V24" i="5"/>
  <c r="V25" i="5"/>
  <c r="V26" i="5"/>
  <c r="V27" i="5"/>
  <c r="V28" i="5"/>
  <c r="V29" i="5"/>
  <c r="V30" i="5"/>
  <c r="V31" i="5"/>
  <c r="V32" i="5"/>
  <c r="V33" i="5"/>
  <c r="V34" i="5"/>
  <c r="V35" i="5"/>
  <c r="V36" i="5"/>
  <c r="V37" i="5"/>
  <c r="V38" i="5"/>
  <c r="V39" i="5"/>
  <c r="V40" i="5"/>
  <c r="U23" i="5"/>
  <c r="U24" i="5"/>
  <c r="U25" i="5"/>
  <c r="U26" i="5"/>
  <c r="U27" i="5"/>
  <c r="U28" i="5"/>
  <c r="U29" i="5"/>
  <c r="U30" i="5"/>
  <c r="U31" i="5"/>
  <c r="U32" i="5"/>
  <c r="U33" i="5"/>
  <c r="U34" i="5"/>
  <c r="U35" i="5"/>
  <c r="U36" i="5"/>
  <c r="U37" i="5"/>
  <c r="U38" i="5"/>
  <c r="U39" i="5"/>
  <c r="U40" i="5"/>
  <c r="T23" i="5"/>
  <c r="T24" i="5"/>
  <c r="T25" i="5"/>
  <c r="T26" i="5"/>
  <c r="T27" i="5"/>
  <c r="T28" i="5"/>
  <c r="T29" i="5"/>
  <c r="T30" i="5"/>
  <c r="T31" i="5"/>
  <c r="T32" i="5"/>
  <c r="T33" i="5"/>
  <c r="T34" i="5"/>
  <c r="T35" i="5"/>
  <c r="T36" i="5"/>
  <c r="T37" i="5"/>
  <c r="T38" i="5"/>
  <c r="T39" i="5"/>
  <c r="T40" i="5"/>
  <c r="T22" i="5"/>
  <c r="U22" i="5"/>
  <c r="V22" i="5"/>
  <c r="W22" i="5"/>
  <c r="X22" i="5"/>
  <c r="S23" i="5"/>
  <c r="S24" i="5"/>
  <c r="S25" i="5"/>
  <c r="S26" i="5"/>
  <c r="S27" i="5"/>
  <c r="S28" i="5"/>
  <c r="S29" i="5"/>
  <c r="S30" i="5"/>
  <c r="S31" i="5"/>
  <c r="S32" i="5"/>
  <c r="S33" i="5"/>
  <c r="S34" i="5"/>
  <c r="S35" i="5"/>
  <c r="S36" i="5"/>
  <c r="S37" i="5"/>
  <c r="S38" i="5"/>
  <c r="S39" i="5"/>
  <c r="S40" i="5"/>
  <c r="S22" i="5"/>
  <c r="X24" i="5"/>
  <c r="X25" i="5"/>
  <c r="X26" i="5"/>
  <c r="X27" i="5"/>
  <c r="X28" i="5"/>
  <c r="X29" i="5"/>
  <c r="X30" i="5"/>
  <c r="X31" i="5"/>
  <c r="X32" i="5"/>
  <c r="X33" i="5"/>
  <c r="X34" i="5"/>
  <c r="X35" i="5"/>
  <c r="X36" i="5"/>
  <c r="X37" i="5"/>
  <c r="X38" i="5"/>
  <c r="X39" i="5"/>
  <c r="X40" i="5"/>
  <c r="X23" i="5"/>
  <c r="W42" i="5"/>
  <c r="W43" i="5"/>
  <c r="R40" i="5"/>
  <c r="R37" i="5"/>
  <c r="R38" i="5"/>
  <c r="R39" i="5"/>
  <c r="R24" i="5"/>
  <c r="R25" i="5"/>
  <c r="R26" i="5"/>
  <c r="R27" i="5"/>
  <c r="R28" i="5"/>
  <c r="R29" i="5"/>
  <c r="R30" i="5"/>
  <c r="R31" i="5"/>
  <c r="R32" i="5"/>
  <c r="R33" i="5"/>
  <c r="R34" i="5"/>
  <c r="R35" i="5"/>
  <c r="R36" i="5"/>
  <c r="R23" i="5"/>
  <c r="I50" i="6"/>
  <c r="I54" i="6" s="1"/>
  <c r="E54" i="6"/>
  <c r="F54" i="6"/>
  <c r="G54" i="6"/>
  <c r="E55" i="6"/>
  <c r="F55" i="6"/>
  <c r="G55" i="6"/>
  <c r="E56" i="6"/>
  <c r="F56" i="6"/>
  <c r="G56" i="6"/>
  <c r="E57" i="6"/>
  <c r="F57" i="6"/>
  <c r="G57" i="6"/>
  <c r="F53" i="6"/>
  <c r="G53" i="6"/>
  <c r="E53"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53" i="6" l="1"/>
  <c r="H57" i="6"/>
  <c r="H56" i="6"/>
  <c r="H55" i="6"/>
  <c r="H54" i="6"/>
  <c r="I53" i="6"/>
  <c r="I57" i="6"/>
  <c r="I56" i="6"/>
  <c r="I5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342F19-4AD2-4DBC-8C11-482F7AA5CA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436C08A-0617-485D-96EF-131F33B3470C}"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36BE60F1-2F22-40F7-B000-F0C3EF3EFC78}"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<sst xmlns="http://schemas.openxmlformats.org/spreadsheetml/2006/main" count="3156" uniqueCount="1075">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</sst>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k"/>
    <numFmt numFmtId="168" formatCode="[$$-409]#,##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2"/>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F0000"/>
        <bgColor indexed="64"/>
      </patternFill>
    </fill>
    <fill>
      <patternFill patternType="solid">
        <fgColor theme="0" tint="-4.9989318521683403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1">
    <xf numFmtId="0" fontId="0" fillId="0" borderId="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4" fillId="3" borderId="0" xfId="0" applyFont="1" applyFill="1"/>
    <xf numFmtId="168" fontId="4" fillId="3" borderId="0" xfId="0" applyNumberFormat="1" applyFont="1" applyFill="1"/>
    <xf numFmtId="0" fontId="4" fillId="5" borderId="10" xfId="0" applyFont="1" applyFill="1" applyBorder="1"/>
    <xf numFmtId="0" fontId="4" fillId="5" borderId="11" xfId="0" applyFont="1" applyFill="1" applyBorder="1"/>
    <xf numFmtId="0" fontId="4" fillId="5" borderId="12" xfId="0" applyFont="1" applyFill="1" applyBorder="1"/>
    <xf numFmtId="0" fontId="4" fillId="5" borderId="13" xfId="0" applyFont="1" applyFill="1" applyBorder="1"/>
    <xf numFmtId="0" fontId="4" fillId="5" borderId="0" xfId="0" applyFont="1" applyFill="1"/>
    <xf numFmtId="0" fontId="4" fillId="5" borderId="14" xfId="0" applyFont="1" applyFill="1" applyBorder="1"/>
    <xf numFmtId="0" fontId="4" fillId="5" borderId="13" xfId="0" applyFont="1" applyFill="1" applyBorder="1" applyAlignment="1">
      <alignment horizontal="center"/>
    </xf>
    <xf numFmtId="168" fontId="4" fillId="5" borderId="14" xfId="0" applyNumberFormat="1" applyFont="1" applyFill="1" applyBorder="1"/>
    <xf numFmtId="0" fontId="4" fillId="5" borderId="15" xfId="0" applyFont="1" applyFill="1" applyBorder="1" applyAlignment="1">
      <alignment horizontal="center"/>
    </xf>
    <xf numFmtId="0" fontId="4" fillId="5" borderId="16" xfId="0" applyFont="1" applyFill="1" applyBorder="1"/>
    <xf numFmtId="168" fontId="4" fillId="5" borderId="17" xfId="0" applyNumberFormat="1" applyFont="1" applyFill="1" applyBorder="1"/>
  </cellXfs>
  <cellStyles count="1">
    <cellStyle name="Normal" xfId="0" builtinId="0"/>
  </cellStyles>
  <dxfs count="31">
    <dxf>
      <fill>
        <patternFill patternType="solid">
          <bgColor theme="0" tint="-0.14999847407452621"/>
        </patternFill>
      </fill>
    </dxf>
    <dxf>
      <fill>
        <patternFill>
          <bgColor rgb="FFFF0000"/>
        </patternFill>
      </fill>
    </dxf>
    <dxf>
      <fill>
        <patternFill patternType="solid">
          <bgColor theme="0" tint="-0.14999847407452621"/>
        </patternFill>
      </fill>
    </dxf>
    <dxf>
      <fill>
        <patternFill>
          <bgColor rgb="FFFF0000"/>
        </patternFill>
      </fill>
    </dxf>
    <dxf>
      <fill>
        <patternFill patternType="solid">
          <bgColor theme="0" tint="-0.14999847407452621"/>
        </patternFill>
      </fill>
    </dxf>
    <dxf>
      <fill>
        <patternFill>
          <bgColor rgb="FFFF0000"/>
        </patternFill>
      </fill>
    </dxf>
    <dxf>
      <fill>
        <patternFill patternType="solid">
          <bgColor theme="0" tint="-0.14999847407452621"/>
        </patternFill>
      </fill>
    </dxf>
    <dxf>
      <fill>
        <patternFill>
          <bgColor rgb="FFFF0000"/>
        </patternFill>
      </fill>
    </dxf>
    <dxf>
      <fill>
        <patternFill patternType="solid">
          <bgColor theme="0" tint="-0.14999847407452621"/>
        </patternFill>
      </fill>
    </dxf>
    <dxf>
      <fill>
        <patternFill>
          <bgColor rgb="FFFF0000"/>
        </patternFill>
      </fill>
    </dxf>
    <dxf>
      <fill>
        <patternFill>
          <bgColor theme="8" tint="0.59996337778862885"/>
        </patternFill>
      </fill>
      <border>
        <left style="thin">
          <color auto="1"/>
        </left>
        <right style="thin">
          <color auto="1"/>
        </right>
        <vertical/>
        <horizontal/>
      </border>
    </dxf>
    <dxf>
      <fill>
        <patternFill>
          <bgColor theme="9" tint="0.79998168889431442"/>
        </patternFill>
      </fill>
      <border>
        <left style="thin">
          <color auto="1"/>
        </left>
        <right style="thin">
          <color auto="1"/>
        </right>
        <top style="thin">
          <color theme="1" tint="0.34998626667073579"/>
        </top>
        <bottom style="thin">
          <color theme="1" tint="0.34998626667073579"/>
        </bottom>
        <vertical/>
        <horizontal/>
      </border>
    </dxf>
    <dxf>
      <fill>
        <patternFill>
          <bgColor rgb="FFFF0000"/>
        </patternFill>
      </fill>
    </dxf>
    <dxf>
      <fill>
        <patternFill patternType="solid">
          <bgColor theme="0" tint="-0.14999847407452621"/>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30"/>
    </tableStyle>
    <tableStyle name="SlicerStyleDark5 2" pivot="0" table="0" count="10" xr9:uid="{F4460E20-B72B-4F9C-BF7D-396135BD6E72}">
      <tableStyleElement type="wholeTable" dxfId="29"/>
      <tableStyleElement type="headerRow" dxfId="28"/>
    </tableStyle>
  </tableStyles>
  <colors>
    <mruColors>
      <color rgb="FF0000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34998626667073579"/>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 Call Center.xlsx]Pivots!Weekly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Saturday</c:v>
                </c:pt>
                <c:pt idx="1">
                  <c:v>Friday</c:v>
                </c:pt>
                <c:pt idx="2">
                  <c:v>Thursday</c:v>
                </c:pt>
                <c:pt idx="3">
                  <c:v>Wednesday</c:v>
                </c:pt>
                <c:pt idx="4">
                  <c:v>Tuesday</c:v>
                </c:pt>
                <c:pt idx="5">
                  <c:v>Monday</c:v>
                </c:pt>
                <c:pt idx="6">
                  <c:v>Sunday</c:v>
                </c:pt>
              </c:strCache>
            </c:strRef>
          </c:cat>
          <c:val>
            <c:numRef>
              <c:f>Pivots!$H$25:$H$32</c:f>
              <c:numCache>
                <c:formatCode>#,##0</c:formatCode>
                <c:ptCount val="7"/>
                <c:pt idx="0">
                  <c:v>34</c:v>
                </c:pt>
                <c:pt idx="1">
                  <c:v>29</c:v>
                </c:pt>
                <c:pt idx="2">
                  <c:v>18</c:v>
                </c:pt>
                <c:pt idx="3">
                  <c:v>29</c:v>
                </c:pt>
                <c:pt idx="4">
                  <c:v>28</c:v>
                </c:pt>
                <c:pt idx="5">
                  <c:v>23</c:v>
                </c:pt>
                <c:pt idx="6">
                  <c:v>25</c:v>
                </c:pt>
              </c:numCache>
            </c:numRef>
          </c:val>
          <c:extLst>
            <c:ext xmlns:c16="http://schemas.microsoft.com/office/drawing/2014/chart" uri="{C3380CC4-5D6E-409C-BE32-E72D297353CC}">
              <c16:uniqueId val="{00000000-15B1-4815-8BA5-5FE5CE51862F}"/>
            </c:ext>
          </c:extLst>
        </c:ser>
        <c:dLbls>
          <c:showLegendKey val="0"/>
          <c:showVal val="0"/>
          <c:showCatName val="0"/>
          <c:showSerName val="0"/>
          <c:showPercent val="0"/>
          <c:showBubbleSize val="0"/>
        </c:dLbls>
        <c:gapWidth val="38"/>
        <c:axId val="2136027391"/>
        <c:axId val="2136032191"/>
      </c:barChart>
      <c:catAx>
        <c:axId val="2136027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032191"/>
        <c:crosses val="autoZero"/>
        <c:auto val="1"/>
        <c:lblAlgn val="ctr"/>
        <c:lblOffset val="100"/>
        <c:noMultiLvlLbl val="0"/>
      </c:catAx>
      <c:valAx>
        <c:axId val="2136032191"/>
        <c:scaling>
          <c:orientation val="minMax"/>
        </c:scaling>
        <c:delete val="1"/>
        <c:axPos val="b"/>
        <c:numFmt formatCode="#,##0" sourceLinked="1"/>
        <c:majorTickMark val="out"/>
        <c:minorTickMark val="none"/>
        <c:tickLblPos val="nextTo"/>
        <c:crossAx val="213602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 Call Center.xlsx]Pivots!Montly Table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Call</a:t>
            </a:r>
            <a:r>
              <a:rPr lang="en-IN" b="1" baseline="0"/>
              <a:t> Trend</a:t>
            </a:r>
          </a:p>
        </c:rich>
      </c:tx>
      <c:layout>
        <c:manualLayout>
          <c:xMode val="edge"/>
          <c:yMode val="edge"/>
          <c:x val="7.430555555555555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schemeClr>
              </a:gs>
              <a:gs pos="97000">
                <a:schemeClr val="accent6">
                  <a:lumMod val="75000"/>
                  <a:alpha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7"/>
          <c:spPr>
            <a:solidFill>
              <a:schemeClr val="bg1">
                <a:lumMod val="95000"/>
              </a:schemeClr>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40000"/>
                    <a:lumOff val="60000"/>
                  </a:schemeClr>
                </a:gs>
                <a:gs pos="97000">
                  <a:schemeClr val="accent6">
                    <a:lumMod val="75000"/>
                    <a:alpha val="70000"/>
                  </a:schemeClr>
                </a:gs>
              </a:gsLst>
              <a:path path="circle">
                <a:fillToRect l="50000" t="50000" r="50000" b="50000"/>
              </a:path>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1014-4811-9C4C-08330BF86E77}"/>
            </c:ext>
          </c:extLst>
        </c:ser>
        <c:dLbls>
          <c:showLegendKey val="0"/>
          <c:showVal val="0"/>
          <c:showCatName val="0"/>
          <c:showSerName val="0"/>
          <c:showPercent val="0"/>
          <c:showBubbleSize val="0"/>
        </c:dLbls>
        <c:axId val="1894676607"/>
        <c:axId val="1894677087"/>
      </c:areaChart>
      <c:lineChart>
        <c:grouping val="standard"/>
        <c:varyColors val="0"/>
        <c:ser>
          <c:idx val="0"/>
          <c:order val="0"/>
          <c:tx>
            <c:strRef>
              <c:f>Pivots!$B$24</c:f>
              <c:strCache>
                <c:ptCount val="1"/>
                <c:pt idx="0">
                  <c:v>Call Count</c:v>
                </c:pt>
              </c:strCache>
            </c:strRef>
          </c:tx>
          <c:spPr>
            <a:ln w="28575" cap="rnd">
              <a:solidFill>
                <a:schemeClr val="accent6">
                  <a:lumMod val="75000"/>
                </a:schemeClr>
              </a:solidFill>
              <a:round/>
            </a:ln>
            <a:effectLst/>
          </c:spPr>
          <c:marker>
            <c:symbol val="circle"/>
            <c:size val="7"/>
            <c:spPr>
              <a:solidFill>
                <a:schemeClr val="bg1">
                  <a:lumMod val="95000"/>
                </a:schemeClr>
              </a:solidFill>
              <a:ln w="25400">
                <a:solidFill>
                  <a:schemeClr val="tx1">
                    <a:lumMod val="95000"/>
                    <a:lumOff val="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1014-4811-9C4C-08330BF86E77}"/>
            </c:ext>
          </c:extLst>
        </c:ser>
        <c:dLbls>
          <c:showLegendKey val="0"/>
          <c:showVal val="0"/>
          <c:showCatName val="0"/>
          <c:showSerName val="0"/>
          <c:showPercent val="0"/>
          <c:showBubbleSize val="0"/>
        </c:dLbls>
        <c:marker val="1"/>
        <c:smooth val="0"/>
        <c:axId val="1894676607"/>
        <c:axId val="1894677087"/>
      </c:lineChart>
      <c:catAx>
        <c:axId val="18946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77087"/>
        <c:crosses val="autoZero"/>
        <c:auto val="1"/>
        <c:lblAlgn val="ctr"/>
        <c:lblOffset val="100"/>
        <c:noMultiLvlLbl val="0"/>
      </c:catAx>
      <c:valAx>
        <c:axId val="18946770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7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Calls</a:t>
            </a:r>
          </a:p>
        </c:rich>
      </c:tx>
      <c:layout>
        <c:manualLayout>
          <c:xMode val="edge"/>
          <c:yMode val="edge"/>
          <c:x val="0.1161147785819701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Pivots!$E$53:$E$57</c:f>
              <c:strCache>
                <c:ptCount val="5"/>
                <c:pt idx="0">
                  <c:v>R01</c:v>
                </c:pt>
                <c:pt idx="1">
                  <c:v>R02</c:v>
                </c:pt>
                <c:pt idx="2">
                  <c:v>R03</c:v>
                </c:pt>
                <c:pt idx="3">
                  <c:v>R04</c:v>
                </c:pt>
                <c:pt idx="4">
                  <c:v>R05</c:v>
                </c:pt>
              </c:strCache>
            </c:strRef>
          </c:cat>
          <c:val>
            <c:numRef>
              <c:f>Pivots!$F$53:$F$57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2D4B-4CD6-B15F-6485B236A983}"/>
            </c:ext>
          </c:extLst>
        </c:ser>
        <c:ser>
          <c:idx val="1"/>
          <c:order val="1"/>
          <c:tx>
            <c:strRef>
              <c:f>Pivots!$H$52</c:f>
              <c:strCache>
                <c:ptCount val="1"/>
                <c:pt idx="0">
                  <c:v>Sel. Calls</c:v>
                </c:pt>
              </c:strCache>
            </c:strRef>
          </c:tx>
          <c:spPr>
            <a:gradFill>
              <a:gsLst>
                <a:gs pos="0">
                  <a:schemeClr val="accent6">
                    <a:lumMod val="40000"/>
                    <a:lumOff val="60000"/>
                  </a:schemeClr>
                </a:gs>
                <a:gs pos="97000">
                  <a:schemeClr val="accent6">
                    <a:lumMod val="75000"/>
                    <a:alpha val="70000"/>
                  </a:schemeClr>
                </a:gs>
              </a:gsLst>
              <a:path path="circle">
                <a:fillToRect t="100000" r="100000"/>
              </a:path>
            </a:gradFill>
            <a:ln>
              <a:noFill/>
            </a:ln>
            <a:effectLst/>
          </c:spPr>
          <c:invertIfNegative val="0"/>
          <c:dPt>
            <c:idx val="1"/>
            <c:invertIfNegative val="0"/>
            <c:bubble3D val="0"/>
            <c:spPr>
              <a:gradFill>
                <a:gsLst>
                  <a:gs pos="0">
                    <a:schemeClr val="accent6">
                      <a:lumMod val="40000"/>
                      <a:lumOff val="60000"/>
                    </a:schemeClr>
                  </a:gs>
                  <a:gs pos="97000">
                    <a:schemeClr val="accent6">
                      <a:lumMod val="75000"/>
                      <a:alpha val="70000"/>
                    </a:schemeClr>
                  </a:gs>
                </a:gsLst>
                <a:path path="circle">
                  <a:fillToRect t="100000" r="100000"/>
                </a:path>
              </a:gradFill>
              <a:ln>
                <a:noFill/>
              </a:ln>
              <a:effectLst/>
            </c:spPr>
            <c:extLst>
              <c:ext xmlns:c16="http://schemas.microsoft.com/office/drawing/2014/chart" uri="{C3380CC4-5D6E-409C-BE32-E72D297353CC}">
                <c16:uniqueId val="{00000002-2D4B-4CD6-B15F-6485B236A983}"/>
              </c:ext>
            </c:extLst>
          </c:dPt>
          <c:val>
            <c:numRef>
              <c:f>Pivots!$H$53:$H$57</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3-2D4B-4CD6-B15F-6485B236A983}"/>
            </c:ext>
          </c:extLst>
        </c:ser>
        <c:dLbls>
          <c:showLegendKey val="0"/>
          <c:showVal val="0"/>
          <c:showCatName val="0"/>
          <c:showSerName val="0"/>
          <c:showPercent val="0"/>
          <c:showBubbleSize val="0"/>
        </c:dLbls>
        <c:gapWidth val="25"/>
        <c:overlap val="100"/>
        <c:axId val="1894677087"/>
        <c:axId val="2136040831"/>
      </c:barChart>
      <c:catAx>
        <c:axId val="18946770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040831"/>
        <c:crosses val="autoZero"/>
        <c:auto val="1"/>
        <c:lblAlgn val="ctr"/>
        <c:lblOffset val="100"/>
        <c:noMultiLvlLbl val="0"/>
      </c:catAx>
      <c:valAx>
        <c:axId val="2136040831"/>
        <c:scaling>
          <c:orientation val="minMax"/>
          <c:min val="0"/>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7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Amount</a:t>
            </a:r>
          </a:p>
        </c:rich>
      </c:tx>
      <c:layout>
        <c:manualLayout>
          <c:xMode val="edge"/>
          <c:yMode val="edge"/>
          <c:x val="4.8253606681852676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Pivots!$E$53:$E$57</c:f>
              <c:strCache>
                <c:ptCount val="5"/>
                <c:pt idx="0">
                  <c:v>R01</c:v>
                </c:pt>
                <c:pt idx="1">
                  <c:v>R02</c:v>
                </c:pt>
                <c:pt idx="2">
                  <c:v>R03</c:v>
                </c:pt>
                <c:pt idx="3">
                  <c:v>R04</c:v>
                </c:pt>
                <c:pt idx="4">
                  <c:v>R05</c:v>
                </c:pt>
              </c:strCache>
            </c:strRef>
          </c:cat>
          <c:val>
            <c:numRef>
              <c:f>Pivots!$G$53:$G$57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92C-4DFB-AD46-5789939174BD}"/>
            </c:ext>
          </c:extLst>
        </c:ser>
        <c:ser>
          <c:idx val="1"/>
          <c:order val="1"/>
          <c:tx>
            <c:strRef>
              <c:f>Pivots!$I$52</c:f>
              <c:strCache>
                <c:ptCount val="1"/>
                <c:pt idx="0">
                  <c:v>Sel. Amount</c:v>
                </c:pt>
              </c:strCache>
            </c:strRef>
          </c:tx>
          <c:spPr>
            <a:gradFill flip="none" rotWithShape="1">
              <a:gsLst>
                <a:gs pos="0">
                  <a:schemeClr val="accent6">
                    <a:lumMod val="40000"/>
                    <a:lumOff val="60000"/>
                  </a:schemeClr>
                </a:gs>
                <a:gs pos="97000">
                  <a:schemeClr val="accent6">
                    <a:lumMod val="75000"/>
                    <a:alpha val="70000"/>
                  </a:schemeClr>
                </a:gs>
              </a:gsLst>
              <a:path path="circle">
                <a:fillToRect t="100000" r="100000"/>
              </a:path>
              <a:tileRect l="-100000" b="-100000"/>
            </a:gradFill>
            <a:ln>
              <a:noFill/>
            </a:ln>
            <a:effectLst/>
          </c:spPr>
          <c:invertIfNegative val="0"/>
          <c:val>
            <c:numRef>
              <c:f>Pivots!$I$53:$I$57</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1-E92C-4DFB-AD46-5789939174BD}"/>
            </c:ext>
          </c:extLst>
        </c:ser>
        <c:dLbls>
          <c:showLegendKey val="0"/>
          <c:showVal val="0"/>
          <c:showCatName val="0"/>
          <c:showSerName val="0"/>
          <c:showPercent val="0"/>
          <c:showBubbleSize val="0"/>
        </c:dLbls>
        <c:gapWidth val="25"/>
        <c:overlap val="100"/>
        <c:axId val="1894677087"/>
        <c:axId val="2136040831"/>
      </c:barChart>
      <c:catAx>
        <c:axId val="1894677087"/>
        <c:scaling>
          <c:orientation val="maxMin"/>
        </c:scaling>
        <c:delete val="1"/>
        <c:axPos val="l"/>
        <c:numFmt formatCode="General" sourceLinked="1"/>
        <c:majorTickMark val="none"/>
        <c:minorTickMark val="none"/>
        <c:tickLblPos val="nextTo"/>
        <c:crossAx val="2136040831"/>
        <c:crosses val="autoZero"/>
        <c:auto val="1"/>
        <c:lblAlgn val="ctr"/>
        <c:lblOffset val="100"/>
        <c:noMultiLvlLbl val="0"/>
      </c:catAx>
      <c:valAx>
        <c:axId val="2136040831"/>
        <c:scaling>
          <c:orientation val="minMax"/>
        </c:scaling>
        <c:delete val="1"/>
        <c:axPos val="t"/>
        <c:numFmt formatCode="\$#,###.0,\k" sourceLinked="1"/>
        <c:majorTickMark val="none"/>
        <c:minorTickMark val="none"/>
        <c:tickLblPos val="nextTo"/>
        <c:crossAx val="189467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 Call Center.xlsx]Pivots!PivotTable11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b="1" baseline="0"/>
              <a:t> v/s</a:t>
            </a:r>
            <a:r>
              <a:rPr lang="en-IN" b="1" baseline="0">
                <a:solidFill>
                  <a:schemeClr val="accent4"/>
                </a:solidFill>
              </a:rPr>
              <a:t> Male </a:t>
            </a:r>
            <a:r>
              <a:rPr lang="en-IN" b="1" baseline="0"/>
              <a:t>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5"/>
          </a:solidFill>
          <a:ln>
            <a:noFill/>
          </a:ln>
          <a:effectLst/>
        </c:spP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pivotFmt>
      <c:pivotFmt>
        <c:idx val="10"/>
        <c:spPr>
          <a:solidFill>
            <a:schemeClr val="accent4"/>
          </a:solidFill>
          <a:ln>
            <a:noFill/>
          </a:ln>
          <a:effectLst/>
        </c:spPr>
      </c:pivotFmt>
      <c:pivotFmt>
        <c:idx val="11"/>
        <c:spPr>
          <a:solidFill>
            <a:schemeClr val="accent4"/>
          </a:solidFill>
          <a:ln>
            <a:noFill/>
          </a:ln>
          <a:effectLst/>
        </c:spPr>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2-425C-438E-84B9-E2D86EEA1C46}"/>
              </c:ext>
            </c:extLst>
          </c:dPt>
          <c:dPt>
            <c:idx val="1"/>
            <c:invertIfNegative val="0"/>
            <c:bubble3D val="0"/>
            <c:extLst>
              <c:ext xmlns:c16="http://schemas.microsoft.com/office/drawing/2014/chart" uri="{C3380CC4-5D6E-409C-BE32-E72D297353CC}">
                <c16:uniqueId val="{00000003-425C-438E-84B9-E2D86EEA1C46}"/>
              </c:ext>
            </c:extLst>
          </c:dPt>
          <c:dPt>
            <c:idx val="2"/>
            <c:invertIfNegative val="0"/>
            <c:bubble3D val="0"/>
            <c:extLst>
              <c:ext xmlns:c16="http://schemas.microsoft.com/office/drawing/2014/chart" uri="{C3380CC4-5D6E-409C-BE32-E72D297353CC}">
                <c16:uniqueId val="{00000004-425C-438E-84B9-E2D86EEA1C4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5C-438E-84B9-E2D86EEA1C4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5C-438E-84B9-E2D86EEA1C46}"/>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5C-438E-84B9-E2D86EEA1C46}"/>
                </c:ext>
              </c:extLst>
            </c:dLbl>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425C-438E-84B9-E2D86EEA1C46}"/>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425C-438E-84B9-E2D86EEA1C46}"/>
            </c:ext>
          </c:extLst>
        </c:ser>
        <c:dLbls>
          <c:showLegendKey val="0"/>
          <c:showVal val="0"/>
          <c:showCatName val="0"/>
          <c:showSerName val="0"/>
          <c:showPercent val="0"/>
          <c:showBubbleSize val="0"/>
        </c:dLbls>
        <c:gapWidth val="25"/>
        <c:overlap val="100"/>
        <c:axId val="2136023551"/>
        <c:axId val="2136013471"/>
      </c:barChart>
      <c:catAx>
        <c:axId val="2136023551"/>
        <c:scaling>
          <c:orientation val="minMax"/>
        </c:scaling>
        <c:delete val="1"/>
        <c:axPos val="b"/>
        <c:numFmt formatCode="General" sourceLinked="1"/>
        <c:majorTickMark val="out"/>
        <c:minorTickMark val="none"/>
        <c:tickLblPos val="nextTo"/>
        <c:crossAx val="2136013471"/>
        <c:crosses val="autoZero"/>
        <c:auto val="1"/>
        <c:lblAlgn val="ctr"/>
        <c:lblOffset val="100"/>
        <c:noMultiLvlLbl val="0"/>
      </c:catAx>
      <c:valAx>
        <c:axId val="2136013471"/>
        <c:scaling>
          <c:orientation val="minMax"/>
        </c:scaling>
        <c:delete val="1"/>
        <c:axPos val="l"/>
        <c:numFmt formatCode="0%" sourceLinked="1"/>
        <c:majorTickMark val="out"/>
        <c:minorTickMark val="none"/>
        <c:tickLblPos val="nextTo"/>
        <c:crossAx val="213602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 Call Center.xlsx]Pivots!rep satisfaction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accent1"/>
            </a:solidFill>
            <a:ln>
              <a:noFill/>
            </a:ln>
            <a:effectLst/>
          </c:spPr>
          <c:invertIfNegative val="0"/>
          <c:cat>
            <c:strRef>
              <c:f>Pivots!$A$90:$A$95</c:f>
              <c:strCache>
                <c:ptCount val="5"/>
                <c:pt idx="0">
                  <c:v>1</c:v>
                </c:pt>
                <c:pt idx="1">
                  <c:v>2</c:v>
                </c:pt>
                <c:pt idx="2">
                  <c:v>3</c:v>
                </c:pt>
                <c:pt idx="3">
                  <c:v>4</c:v>
                </c:pt>
                <c:pt idx="4">
                  <c:v>5</c:v>
                </c:pt>
              </c:strCache>
            </c:strRef>
          </c:cat>
          <c:val>
            <c:numRef>
              <c:f>Pivots!$B$90:$B$95</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5C29-4F44-912B-14E0A56E21B9}"/>
            </c:ext>
          </c:extLst>
        </c:ser>
        <c:dLbls>
          <c:showLegendKey val="0"/>
          <c:showVal val="0"/>
          <c:showCatName val="0"/>
          <c:showSerName val="0"/>
          <c:showPercent val="0"/>
          <c:showBubbleSize val="0"/>
        </c:dLbls>
        <c:gapWidth val="25"/>
        <c:overlap val="-27"/>
        <c:axId val="844629167"/>
        <c:axId val="844632527"/>
      </c:barChart>
      <c:catAx>
        <c:axId val="844629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632527"/>
        <c:crosses val="autoZero"/>
        <c:auto val="1"/>
        <c:lblAlgn val="ctr"/>
        <c:lblOffset val="100"/>
        <c:noMultiLvlLbl val="0"/>
      </c:catAx>
      <c:valAx>
        <c:axId val="84463252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62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3.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chart" Target="../charts/chart2.xml"/><Relationship Id="rId2" Type="http://schemas.openxmlformats.org/officeDocument/2006/relationships/image" Target="../media/image14.svg"/><Relationship Id="rId16" Type="http://schemas.openxmlformats.org/officeDocument/2006/relationships/chart" Target="../charts/chart6.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chart" Target="../charts/chart1.xml"/><Relationship Id="rId5" Type="http://schemas.openxmlformats.org/officeDocument/2006/relationships/image" Target="../media/image17.png"/><Relationship Id="rId15" Type="http://schemas.openxmlformats.org/officeDocument/2006/relationships/chart" Target="../charts/chart5.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19049</xdr:colOff>
      <xdr:row>3</xdr:row>
      <xdr:rowOff>142875</xdr:rowOff>
    </xdr:from>
    <xdr:to>
      <xdr:col>3</xdr:col>
      <xdr:colOff>600074</xdr:colOff>
      <xdr:row>8</xdr:row>
      <xdr:rowOff>123825</xdr:rowOff>
    </xdr:to>
    <xdr:sp macro="" textlink="Pivots!A4">
      <xdr:nvSpPr>
        <xdr:cNvPr id="2" name="Rectangle 1">
          <a:extLst>
            <a:ext uri="{FF2B5EF4-FFF2-40B4-BE49-F238E27FC236}">
              <a16:creationId xmlns:a16="http://schemas.microsoft.com/office/drawing/2014/main" id="{15940E11-6F0B-B214-91DF-B47D0FECA034}"/>
            </a:ext>
          </a:extLst>
        </xdr:cNvPr>
        <xdr:cNvSpPr/>
      </xdr:nvSpPr>
      <xdr:spPr>
        <a:xfrm>
          <a:off x="438149" y="685800"/>
          <a:ext cx="1743075" cy="885825"/>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28D3D7-E665-4EA9-B711-6B88208B71E2}" type="TxLink">
            <a:rPr lang="en-US" sz="2400" b="0" i="0" u="none" strike="noStrike">
              <a:solidFill>
                <a:schemeClr val="bg1"/>
              </a:solidFill>
              <a:latin typeface="+mj-lt"/>
            </a:rPr>
            <a:pPr algn="ctr"/>
            <a:t>1,000</a:t>
          </a:fld>
          <a:endParaRPr lang="en-IN" sz="2400">
            <a:solidFill>
              <a:schemeClr val="bg1"/>
            </a:solidFill>
            <a:latin typeface="+mj-lt"/>
          </a:endParaRPr>
        </a:p>
      </xdr:txBody>
    </xdr:sp>
    <xdr:clientData/>
  </xdr:twoCellAnchor>
  <xdr:twoCellAnchor>
    <xdr:from>
      <xdr:col>2</xdr:col>
      <xdr:colOff>0</xdr:colOff>
      <xdr:row>4</xdr:row>
      <xdr:rowOff>19050</xdr:rowOff>
    </xdr:from>
    <xdr:to>
      <xdr:col>3</xdr:col>
      <xdr:colOff>238125</xdr:colOff>
      <xdr:row>5</xdr:row>
      <xdr:rowOff>66675</xdr:rowOff>
    </xdr:to>
    <xdr:sp macro="" textlink="">
      <xdr:nvSpPr>
        <xdr:cNvPr id="3" name="TextBox 2">
          <a:extLst>
            <a:ext uri="{FF2B5EF4-FFF2-40B4-BE49-F238E27FC236}">
              <a16:creationId xmlns:a16="http://schemas.microsoft.com/office/drawing/2014/main" id="{E00FF374-5D47-F805-2F51-649B4A0962F2}"/>
            </a:ext>
          </a:extLst>
        </xdr:cNvPr>
        <xdr:cNvSpPr txBox="1"/>
      </xdr:nvSpPr>
      <xdr:spPr>
        <a:xfrm>
          <a:off x="914400" y="742950"/>
          <a:ext cx="904875" cy="2286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Calls</a:t>
          </a:r>
        </a:p>
      </xdr:txBody>
    </xdr:sp>
    <xdr:clientData/>
  </xdr:twoCellAnchor>
  <xdr:twoCellAnchor editAs="oneCell">
    <xdr:from>
      <xdr:col>1</xdr:col>
      <xdr:colOff>142875</xdr:colOff>
      <xdr:row>3</xdr:row>
      <xdr:rowOff>171450</xdr:rowOff>
    </xdr:from>
    <xdr:to>
      <xdr:col>1</xdr:col>
      <xdr:colOff>400050</xdr:colOff>
      <xdr:row>5</xdr:row>
      <xdr:rowOff>60435</xdr:rowOff>
    </xdr:to>
    <xdr:pic>
      <xdr:nvPicPr>
        <xdr:cNvPr id="4" name="Graphic 3" descr="Receiver with solid fill">
          <a:extLst>
            <a:ext uri="{FF2B5EF4-FFF2-40B4-BE49-F238E27FC236}">
              <a16:creationId xmlns:a16="http://schemas.microsoft.com/office/drawing/2014/main" id="{B97A2B48-8DDE-472B-A328-0405C00409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975" y="714375"/>
          <a:ext cx="257175" cy="250935"/>
        </a:xfrm>
        <a:prstGeom prst="rect">
          <a:avLst/>
        </a:prstGeom>
      </xdr:spPr>
    </xdr:pic>
    <xdr:clientData/>
  </xdr:twoCellAnchor>
  <xdr:twoCellAnchor>
    <xdr:from>
      <xdr:col>2</xdr:col>
      <xdr:colOff>9525</xdr:colOff>
      <xdr:row>7</xdr:row>
      <xdr:rowOff>38100</xdr:rowOff>
    </xdr:from>
    <xdr:to>
      <xdr:col>3</xdr:col>
      <xdr:colOff>219075</xdr:colOff>
      <xdr:row>8</xdr:row>
      <xdr:rowOff>76200</xdr:rowOff>
    </xdr:to>
    <xdr:sp macro="" textlink="Pivots!A8">
      <xdr:nvSpPr>
        <xdr:cNvPr id="5" name="TextBox 4">
          <a:extLst>
            <a:ext uri="{FF2B5EF4-FFF2-40B4-BE49-F238E27FC236}">
              <a16:creationId xmlns:a16="http://schemas.microsoft.com/office/drawing/2014/main" id="{ED6094AC-D3EA-938D-7236-7EB2EAC43AE8}"/>
            </a:ext>
          </a:extLst>
        </xdr:cNvPr>
        <xdr:cNvSpPr txBox="1"/>
      </xdr:nvSpPr>
      <xdr:spPr>
        <a:xfrm>
          <a:off x="923925" y="1304925"/>
          <a:ext cx="876300" cy="21907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0F1B82-6EF1-4158-8380-567B52997906}" type="TxLink">
            <a:rPr lang="en-US" sz="1800" b="0" i="0" u="none" strike="noStrike">
              <a:solidFill>
                <a:schemeClr val="bg1">
                  <a:lumMod val="95000"/>
                </a:schemeClr>
              </a:solidFill>
              <a:latin typeface="Aptos"/>
            </a:rPr>
            <a:pPr algn="ctr"/>
            <a:t>186</a:t>
          </a:fld>
          <a:endParaRPr lang="en-IN" sz="1800">
            <a:solidFill>
              <a:schemeClr val="bg1">
                <a:lumMod val="95000"/>
              </a:schemeClr>
            </a:solidFill>
          </a:endParaRPr>
        </a:p>
      </xdr:txBody>
    </xdr:sp>
    <xdr:clientData/>
  </xdr:twoCellAnchor>
  <xdr:twoCellAnchor>
    <xdr:from>
      <xdr:col>1</xdr:col>
      <xdr:colOff>9525</xdr:colOff>
      <xdr:row>9</xdr:row>
      <xdr:rowOff>171450</xdr:rowOff>
    </xdr:from>
    <xdr:to>
      <xdr:col>3</xdr:col>
      <xdr:colOff>590550</xdr:colOff>
      <xdr:row>14</xdr:row>
      <xdr:rowOff>152400</xdr:rowOff>
    </xdr:to>
    <xdr:sp macro="" textlink="Pivots!B4">
      <xdr:nvSpPr>
        <xdr:cNvPr id="22" name="Rectangle 21">
          <a:extLst>
            <a:ext uri="{FF2B5EF4-FFF2-40B4-BE49-F238E27FC236}">
              <a16:creationId xmlns:a16="http://schemas.microsoft.com/office/drawing/2014/main" id="{E84513A2-C69D-4A8F-B433-211415A85CA9}"/>
            </a:ext>
          </a:extLst>
        </xdr:cNvPr>
        <xdr:cNvSpPr/>
      </xdr:nvSpPr>
      <xdr:spPr>
        <a:xfrm>
          <a:off x="428625" y="1800225"/>
          <a:ext cx="1743075" cy="885825"/>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A68B7AE-B415-46BC-8BE8-578C67B12523}" type="TxLink">
            <a:rPr lang="en-US" sz="2400" b="0" i="0" u="none" strike="noStrike">
              <a:solidFill>
                <a:schemeClr val="bg1"/>
              </a:solidFill>
              <a:latin typeface="+mj-lt"/>
              <a:ea typeface="+mn-ea"/>
              <a:cs typeface="+mn-cs"/>
            </a:rPr>
            <a:pPr marL="0" indent="0" algn="ctr"/>
            <a:t>$96,623</a:t>
          </a:fld>
          <a:endParaRPr lang="en-IN" sz="2400" b="0" i="0" u="none" strike="noStrike">
            <a:solidFill>
              <a:schemeClr val="bg1"/>
            </a:solidFill>
            <a:latin typeface="+mj-lt"/>
            <a:ea typeface="+mn-ea"/>
            <a:cs typeface="+mn-cs"/>
          </a:endParaRPr>
        </a:p>
      </xdr:txBody>
    </xdr:sp>
    <xdr:clientData/>
  </xdr:twoCellAnchor>
  <xdr:twoCellAnchor>
    <xdr:from>
      <xdr:col>1</xdr:col>
      <xdr:colOff>476251</xdr:colOff>
      <xdr:row>10</xdr:row>
      <xdr:rowOff>57150</xdr:rowOff>
    </xdr:from>
    <xdr:to>
      <xdr:col>3</xdr:col>
      <xdr:colOff>219076</xdr:colOff>
      <xdr:row>11</xdr:row>
      <xdr:rowOff>104775</xdr:rowOff>
    </xdr:to>
    <xdr:sp macro="" textlink="">
      <xdr:nvSpPr>
        <xdr:cNvPr id="23" name="TextBox 22">
          <a:extLst>
            <a:ext uri="{FF2B5EF4-FFF2-40B4-BE49-F238E27FC236}">
              <a16:creationId xmlns:a16="http://schemas.microsoft.com/office/drawing/2014/main" id="{BD47164A-D02A-4019-AF9F-31D92690E84E}"/>
            </a:ext>
          </a:extLst>
        </xdr:cNvPr>
        <xdr:cNvSpPr txBox="1"/>
      </xdr:nvSpPr>
      <xdr:spPr>
        <a:xfrm>
          <a:off x="895351" y="1866900"/>
          <a:ext cx="904875" cy="2286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Amount</a:t>
          </a:r>
        </a:p>
      </xdr:txBody>
    </xdr:sp>
    <xdr:clientData/>
  </xdr:twoCellAnchor>
  <xdr:twoCellAnchor editAs="oneCell">
    <xdr:from>
      <xdr:col>1</xdr:col>
      <xdr:colOff>126946</xdr:colOff>
      <xdr:row>10</xdr:row>
      <xdr:rowOff>28575</xdr:rowOff>
    </xdr:from>
    <xdr:to>
      <xdr:col>1</xdr:col>
      <xdr:colOff>377881</xdr:colOff>
      <xdr:row>11</xdr:row>
      <xdr:rowOff>98535</xdr:rowOff>
    </xdr:to>
    <xdr:pic>
      <xdr:nvPicPr>
        <xdr:cNvPr id="24" name="Graphic 23">
          <a:extLst>
            <a:ext uri="{FF2B5EF4-FFF2-40B4-BE49-F238E27FC236}">
              <a16:creationId xmlns:a16="http://schemas.microsoft.com/office/drawing/2014/main" id="{5C6DD465-69E0-4B62-A40C-96415DA9123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46046" y="1838325"/>
          <a:ext cx="250935" cy="250935"/>
        </a:xfrm>
        <a:prstGeom prst="rect">
          <a:avLst/>
        </a:prstGeom>
      </xdr:spPr>
    </xdr:pic>
    <xdr:clientData/>
  </xdr:twoCellAnchor>
  <xdr:twoCellAnchor>
    <xdr:from>
      <xdr:col>1</xdr:col>
      <xdr:colOff>400050</xdr:colOff>
      <xdr:row>13</xdr:row>
      <xdr:rowOff>19051</xdr:rowOff>
    </xdr:from>
    <xdr:to>
      <xdr:col>3</xdr:col>
      <xdr:colOff>200026</xdr:colOff>
      <xdr:row>14</xdr:row>
      <xdr:rowOff>142876</xdr:rowOff>
    </xdr:to>
    <xdr:sp macro="" textlink="Pivots!B8">
      <xdr:nvSpPr>
        <xdr:cNvPr id="25" name="TextBox 24">
          <a:extLst>
            <a:ext uri="{FF2B5EF4-FFF2-40B4-BE49-F238E27FC236}">
              <a16:creationId xmlns:a16="http://schemas.microsoft.com/office/drawing/2014/main" id="{7CF02EA9-C89A-4E96-A0A4-0412AD41546A}"/>
            </a:ext>
          </a:extLst>
        </xdr:cNvPr>
        <xdr:cNvSpPr txBox="1"/>
      </xdr:nvSpPr>
      <xdr:spPr>
        <a:xfrm>
          <a:off x="819150" y="2371726"/>
          <a:ext cx="962026" cy="304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349C4E-FAB2-463F-BBD9-9C04EDF13EEC}" type="TxLink">
            <a:rPr lang="en-US" sz="1100" b="0" i="0" u="none" strike="noStrike">
              <a:solidFill>
                <a:schemeClr val="bg1">
                  <a:lumMod val="95000"/>
                </a:schemeClr>
              </a:solidFill>
              <a:latin typeface="Aptos"/>
            </a:rPr>
            <a:pPr algn="ctr"/>
            <a:t>$16,651</a:t>
          </a:fld>
          <a:endParaRPr lang="en-IN" sz="1800">
            <a:solidFill>
              <a:schemeClr val="bg1">
                <a:lumMod val="95000"/>
              </a:schemeClr>
            </a:solidFill>
          </a:endParaRPr>
        </a:p>
      </xdr:txBody>
    </xdr:sp>
    <xdr:clientData/>
  </xdr:twoCellAnchor>
  <xdr:twoCellAnchor>
    <xdr:from>
      <xdr:col>1</xdr:col>
      <xdr:colOff>9525</xdr:colOff>
      <xdr:row>16</xdr:row>
      <xdr:rowOff>19050</xdr:rowOff>
    </xdr:from>
    <xdr:to>
      <xdr:col>3</xdr:col>
      <xdr:colOff>590550</xdr:colOff>
      <xdr:row>21</xdr:row>
      <xdr:rowOff>0</xdr:rowOff>
    </xdr:to>
    <xdr:sp macro="" textlink="Pivots!C4">
      <xdr:nvSpPr>
        <xdr:cNvPr id="26" name="Rectangle 25">
          <a:extLst>
            <a:ext uri="{FF2B5EF4-FFF2-40B4-BE49-F238E27FC236}">
              <a16:creationId xmlns:a16="http://schemas.microsoft.com/office/drawing/2014/main" id="{484C75A6-2715-4893-BE9D-C07323B6944D}"/>
            </a:ext>
          </a:extLst>
        </xdr:cNvPr>
        <xdr:cNvSpPr/>
      </xdr:nvSpPr>
      <xdr:spPr>
        <a:xfrm>
          <a:off x="428625" y="2914650"/>
          <a:ext cx="1743075" cy="885825"/>
        </a:xfrm>
        <a:prstGeom prst="rect">
          <a:avLst/>
        </a:prstGeom>
        <a:solidFill>
          <a:schemeClr val="accent6"/>
        </a:solidFill>
        <a:ln>
          <a:solidFill>
            <a:srgbClr val="000099"/>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382777A-D05A-4DBE-832F-3539CDF0C70F}" type="TxLink">
            <a:rPr lang="en-US" sz="2400" b="0" i="0" u="none" strike="noStrike">
              <a:solidFill>
                <a:schemeClr val="bg1"/>
              </a:solidFill>
              <a:latin typeface="+mj-lt"/>
              <a:ea typeface="+mn-ea"/>
              <a:cs typeface="+mn-cs"/>
            </a:rPr>
            <a:pPr marL="0" indent="0" algn="ctr"/>
            <a:t>89,850</a:t>
          </a:fld>
          <a:endParaRPr lang="en-IN" sz="2400" b="0" i="0" u="none" strike="noStrike">
            <a:solidFill>
              <a:schemeClr val="bg1"/>
            </a:solidFill>
            <a:latin typeface="+mj-lt"/>
            <a:ea typeface="+mn-ea"/>
            <a:cs typeface="+mn-cs"/>
          </a:endParaRPr>
        </a:p>
      </xdr:txBody>
    </xdr:sp>
    <xdr:clientData/>
  </xdr:twoCellAnchor>
  <xdr:twoCellAnchor>
    <xdr:from>
      <xdr:col>1</xdr:col>
      <xdr:colOff>476251</xdr:colOff>
      <xdr:row>16</xdr:row>
      <xdr:rowOff>57150</xdr:rowOff>
    </xdr:from>
    <xdr:to>
      <xdr:col>3</xdr:col>
      <xdr:colOff>219076</xdr:colOff>
      <xdr:row>17</xdr:row>
      <xdr:rowOff>104775</xdr:rowOff>
    </xdr:to>
    <xdr:sp macro="" textlink="">
      <xdr:nvSpPr>
        <xdr:cNvPr id="27" name="TextBox 26">
          <a:extLst>
            <a:ext uri="{FF2B5EF4-FFF2-40B4-BE49-F238E27FC236}">
              <a16:creationId xmlns:a16="http://schemas.microsoft.com/office/drawing/2014/main" id="{E96E6F71-5A08-4077-A42C-7145BF7241A9}"/>
            </a:ext>
          </a:extLst>
        </xdr:cNvPr>
        <xdr:cNvSpPr txBox="1"/>
      </xdr:nvSpPr>
      <xdr:spPr>
        <a:xfrm>
          <a:off x="895351" y="2952750"/>
          <a:ext cx="904875" cy="2286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Duration</a:t>
          </a:r>
        </a:p>
      </xdr:txBody>
    </xdr:sp>
    <xdr:clientData/>
  </xdr:twoCellAnchor>
  <xdr:twoCellAnchor editAs="oneCell">
    <xdr:from>
      <xdr:col>1</xdr:col>
      <xdr:colOff>126946</xdr:colOff>
      <xdr:row>16</xdr:row>
      <xdr:rowOff>28575</xdr:rowOff>
    </xdr:from>
    <xdr:to>
      <xdr:col>1</xdr:col>
      <xdr:colOff>377881</xdr:colOff>
      <xdr:row>17</xdr:row>
      <xdr:rowOff>98535</xdr:rowOff>
    </xdr:to>
    <xdr:pic>
      <xdr:nvPicPr>
        <xdr:cNvPr id="28" name="Graphic 27">
          <a:extLst>
            <a:ext uri="{FF2B5EF4-FFF2-40B4-BE49-F238E27FC236}">
              <a16:creationId xmlns:a16="http://schemas.microsoft.com/office/drawing/2014/main" id="{F2243E48-F978-4EC3-8DBC-B0D8A7CE3D6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46046" y="2924175"/>
          <a:ext cx="250935" cy="250935"/>
        </a:xfrm>
        <a:prstGeom prst="rect">
          <a:avLst/>
        </a:prstGeom>
      </xdr:spPr>
    </xdr:pic>
    <xdr:clientData/>
  </xdr:twoCellAnchor>
  <xdr:twoCellAnchor>
    <xdr:from>
      <xdr:col>1</xdr:col>
      <xdr:colOff>361950</xdr:colOff>
      <xdr:row>19</xdr:row>
      <xdr:rowOff>38101</xdr:rowOff>
    </xdr:from>
    <xdr:to>
      <xdr:col>3</xdr:col>
      <xdr:colOff>247651</xdr:colOff>
      <xdr:row>20</xdr:row>
      <xdr:rowOff>161926</xdr:rowOff>
    </xdr:to>
    <xdr:sp macro="" textlink="Pivots!C8">
      <xdr:nvSpPr>
        <xdr:cNvPr id="29" name="TextBox 28">
          <a:extLst>
            <a:ext uri="{FF2B5EF4-FFF2-40B4-BE49-F238E27FC236}">
              <a16:creationId xmlns:a16="http://schemas.microsoft.com/office/drawing/2014/main" id="{B42178E3-DC55-49A5-9219-C1D958644AC0}"/>
            </a:ext>
          </a:extLst>
        </xdr:cNvPr>
        <xdr:cNvSpPr txBox="1"/>
      </xdr:nvSpPr>
      <xdr:spPr>
        <a:xfrm>
          <a:off x="781050" y="3476626"/>
          <a:ext cx="1047751" cy="3048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E6E7F2-8F4F-4DD5-918D-426C761A9BB9}" type="TxLink">
            <a:rPr lang="en-US" sz="1100" b="0" i="0" u="none" strike="noStrike">
              <a:solidFill>
                <a:schemeClr val="bg1">
                  <a:lumMod val="95000"/>
                </a:schemeClr>
              </a:solidFill>
              <a:latin typeface="Aptos"/>
            </a:rPr>
            <a:pPr algn="ctr"/>
            <a:t>17,807</a:t>
          </a:fld>
          <a:endParaRPr lang="en-IN" sz="1800">
            <a:solidFill>
              <a:schemeClr val="bg1">
                <a:lumMod val="95000"/>
              </a:schemeClr>
            </a:solidFill>
          </a:endParaRPr>
        </a:p>
      </xdr:txBody>
    </xdr:sp>
    <xdr:clientData/>
  </xdr:twoCellAnchor>
  <xdr:twoCellAnchor>
    <xdr:from>
      <xdr:col>1</xdr:col>
      <xdr:colOff>0</xdr:colOff>
      <xdr:row>21</xdr:row>
      <xdr:rowOff>123825</xdr:rowOff>
    </xdr:from>
    <xdr:to>
      <xdr:col>3</xdr:col>
      <xdr:colOff>581025</xdr:colOff>
      <xdr:row>26</xdr:row>
      <xdr:rowOff>104775</xdr:rowOff>
    </xdr:to>
    <xdr:sp macro="" textlink="Pivots!D4">
      <xdr:nvSpPr>
        <xdr:cNvPr id="30" name="Rectangle 29">
          <a:extLst>
            <a:ext uri="{FF2B5EF4-FFF2-40B4-BE49-F238E27FC236}">
              <a16:creationId xmlns:a16="http://schemas.microsoft.com/office/drawing/2014/main" id="{E8326CE9-20B9-4DD9-8CDC-9B63BE63EA00}"/>
            </a:ext>
          </a:extLst>
        </xdr:cNvPr>
        <xdr:cNvSpPr/>
      </xdr:nvSpPr>
      <xdr:spPr>
        <a:xfrm>
          <a:off x="419100" y="3924300"/>
          <a:ext cx="1743075" cy="885825"/>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825A846-D7DF-4EA6-8AE6-391B6D604DB8}" type="TxLink">
            <a:rPr lang="en-US" sz="2400" b="0" i="0" u="none" strike="noStrike">
              <a:solidFill>
                <a:schemeClr val="bg1"/>
              </a:solidFill>
              <a:latin typeface="+mj-lt"/>
              <a:ea typeface="+mn-ea"/>
              <a:cs typeface="+mn-cs"/>
            </a:rPr>
            <a:pPr marL="0" indent="0" algn="ctr"/>
            <a:t>3.9</a:t>
          </a:fld>
          <a:endParaRPr lang="en-IN" sz="2400" b="0" i="0" u="none" strike="noStrike">
            <a:solidFill>
              <a:schemeClr val="bg1"/>
            </a:solidFill>
            <a:latin typeface="+mj-lt"/>
            <a:ea typeface="+mn-ea"/>
            <a:cs typeface="+mn-cs"/>
          </a:endParaRPr>
        </a:p>
      </xdr:txBody>
    </xdr:sp>
    <xdr:clientData/>
  </xdr:twoCellAnchor>
  <xdr:twoCellAnchor>
    <xdr:from>
      <xdr:col>1</xdr:col>
      <xdr:colOff>361951</xdr:colOff>
      <xdr:row>21</xdr:row>
      <xdr:rowOff>161925</xdr:rowOff>
    </xdr:from>
    <xdr:to>
      <xdr:col>3</xdr:col>
      <xdr:colOff>371475</xdr:colOff>
      <xdr:row>23</xdr:row>
      <xdr:rowOff>19051</xdr:rowOff>
    </xdr:to>
    <xdr:sp macro="" textlink="">
      <xdr:nvSpPr>
        <xdr:cNvPr id="31" name="TextBox 30">
          <a:extLst>
            <a:ext uri="{FF2B5EF4-FFF2-40B4-BE49-F238E27FC236}">
              <a16:creationId xmlns:a16="http://schemas.microsoft.com/office/drawing/2014/main" id="{CF86AF4F-0D60-497D-9D66-F589AEC227C4}"/>
            </a:ext>
          </a:extLst>
        </xdr:cNvPr>
        <xdr:cNvSpPr txBox="1"/>
      </xdr:nvSpPr>
      <xdr:spPr>
        <a:xfrm>
          <a:off x="781051" y="3962400"/>
          <a:ext cx="1171574" cy="219076"/>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Avg.</a:t>
          </a:r>
          <a:r>
            <a:rPr lang="en-IN" sz="1400" baseline="0">
              <a:solidFill>
                <a:schemeClr val="bg1"/>
              </a:solidFill>
            </a:rPr>
            <a:t> Rating</a:t>
          </a:r>
          <a:endParaRPr lang="en-IN" sz="1400">
            <a:solidFill>
              <a:schemeClr val="bg1"/>
            </a:solidFill>
          </a:endParaRPr>
        </a:p>
      </xdr:txBody>
    </xdr:sp>
    <xdr:clientData/>
  </xdr:twoCellAnchor>
  <xdr:twoCellAnchor editAs="oneCell">
    <xdr:from>
      <xdr:col>1</xdr:col>
      <xdr:colOff>126946</xdr:colOff>
      <xdr:row>22</xdr:row>
      <xdr:rowOff>28575</xdr:rowOff>
    </xdr:from>
    <xdr:to>
      <xdr:col>1</xdr:col>
      <xdr:colOff>377881</xdr:colOff>
      <xdr:row>23</xdr:row>
      <xdr:rowOff>79485</xdr:rowOff>
    </xdr:to>
    <xdr:pic>
      <xdr:nvPicPr>
        <xdr:cNvPr id="32" name="Graphic 31">
          <a:extLst>
            <a:ext uri="{FF2B5EF4-FFF2-40B4-BE49-F238E27FC236}">
              <a16:creationId xmlns:a16="http://schemas.microsoft.com/office/drawing/2014/main" id="{305F2E42-9771-4EC5-9694-4C16759C05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46046" y="4010025"/>
          <a:ext cx="250935" cy="250935"/>
        </a:xfrm>
        <a:prstGeom prst="rect">
          <a:avLst/>
        </a:prstGeom>
      </xdr:spPr>
    </xdr:pic>
    <xdr:clientData/>
  </xdr:twoCellAnchor>
  <xdr:twoCellAnchor>
    <xdr:from>
      <xdr:col>1</xdr:col>
      <xdr:colOff>352425</xdr:colOff>
      <xdr:row>25</xdr:row>
      <xdr:rowOff>0</xdr:rowOff>
    </xdr:from>
    <xdr:to>
      <xdr:col>3</xdr:col>
      <xdr:colOff>200026</xdr:colOff>
      <xdr:row>26</xdr:row>
      <xdr:rowOff>114300</xdr:rowOff>
    </xdr:to>
    <xdr:sp macro="" textlink="Pivots!D8">
      <xdr:nvSpPr>
        <xdr:cNvPr id="33" name="TextBox 32">
          <a:extLst>
            <a:ext uri="{FF2B5EF4-FFF2-40B4-BE49-F238E27FC236}">
              <a16:creationId xmlns:a16="http://schemas.microsoft.com/office/drawing/2014/main" id="{0C851EFC-087E-4FCF-81E7-7DFB99FCF1FC}"/>
            </a:ext>
          </a:extLst>
        </xdr:cNvPr>
        <xdr:cNvSpPr txBox="1"/>
      </xdr:nvSpPr>
      <xdr:spPr>
        <a:xfrm>
          <a:off x="771525" y="4524375"/>
          <a:ext cx="1009651" cy="29527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631032-E78F-4869-8D42-8A1484E6D229}" type="TxLink">
            <a:rPr lang="en-US" sz="1100" b="0" i="0" u="none" strike="noStrike">
              <a:solidFill>
                <a:schemeClr val="bg1">
                  <a:lumMod val="95000"/>
                </a:schemeClr>
              </a:solidFill>
              <a:latin typeface="Aptos"/>
            </a:rPr>
            <a:pPr algn="ctr"/>
            <a:t>3.9</a:t>
          </a:fld>
          <a:endParaRPr lang="en-IN" sz="1800">
            <a:solidFill>
              <a:schemeClr val="bg1">
                <a:lumMod val="95000"/>
              </a:schemeClr>
            </a:solidFill>
          </a:endParaRPr>
        </a:p>
      </xdr:txBody>
    </xdr:sp>
    <xdr:clientData/>
  </xdr:twoCellAnchor>
  <xdr:twoCellAnchor>
    <xdr:from>
      <xdr:col>1</xdr:col>
      <xdr:colOff>0</xdr:colOff>
      <xdr:row>28</xdr:row>
      <xdr:rowOff>0</xdr:rowOff>
    </xdr:from>
    <xdr:to>
      <xdr:col>3</xdr:col>
      <xdr:colOff>581025</xdr:colOff>
      <xdr:row>32</xdr:row>
      <xdr:rowOff>161925</xdr:rowOff>
    </xdr:to>
    <xdr:sp macro="" textlink="Pivots!E4">
      <xdr:nvSpPr>
        <xdr:cNvPr id="34" name="Rectangle 33">
          <a:extLst>
            <a:ext uri="{FF2B5EF4-FFF2-40B4-BE49-F238E27FC236}">
              <a16:creationId xmlns:a16="http://schemas.microsoft.com/office/drawing/2014/main" id="{307A7A80-F3EE-4665-B88C-74B2F2DA5A30}"/>
            </a:ext>
          </a:extLst>
        </xdr:cNvPr>
        <xdr:cNvSpPr/>
      </xdr:nvSpPr>
      <xdr:spPr>
        <a:xfrm>
          <a:off x="419100" y="5067300"/>
          <a:ext cx="1743075" cy="885825"/>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4A271AD-ED0D-4D53-9304-0C57B918E8F0}" type="TxLink">
            <a:rPr lang="en-US" sz="2400" b="0" i="0" u="none" strike="noStrike">
              <a:solidFill>
                <a:schemeClr val="bg1"/>
              </a:solidFill>
              <a:latin typeface="+mj-lt"/>
              <a:ea typeface="+mn-ea"/>
              <a:cs typeface="+mn-cs"/>
            </a:rPr>
            <a:pPr marL="0" indent="0" algn="ctr"/>
            <a:t>307</a:t>
          </a:fld>
          <a:endParaRPr lang="en-IN" sz="2400" b="0" i="0" u="none" strike="noStrike">
            <a:solidFill>
              <a:schemeClr val="bg1"/>
            </a:solidFill>
            <a:latin typeface="+mj-lt"/>
            <a:ea typeface="+mn-ea"/>
            <a:cs typeface="+mn-cs"/>
          </a:endParaRPr>
        </a:p>
      </xdr:txBody>
    </xdr:sp>
    <xdr:clientData/>
  </xdr:twoCellAnchor>
  <xdr:twoCellAnchor>
    <xdr:from>
      <xdr:col>1</xdr:col>
      <xdr:colOff>285751</xdr:colOff>
      <xdr:row>28</xdr:row>
      <xdr:rowOff>19050</xdr:rowOff>
    </xdr:from>
    <xdr:to>
      <xdr:col>3</xdr:col>
      <xdr:colOff>504825</xdr:colOff>
      <xdr:row>29</xdr:row>
      <xdr:rowOff>85725</xdr:rowOff>
    </xdr:to>
    <xdr:sp macro="" textlink="">
      <xdr:nvSpPr>
        <xdr:cNvPr id="35" name="TextBox 34">
          <a:extLst>
            <a:ext uri="{FF2B5EF4-FFF2-40B4-BE49-F238E27FC236}">
              <a16:creationId xmlns:a16="http://schemas.microsoft.com/office/drawing/2014/main" id="{7EA8FF24-2DA1-4747-9C61-0EC766D8B5A7}"/>
            </a:ext>
          </a:extLst>
        </xdr:cNvPr>
        <xdr:cNvSpPr txBox="1"/>
      </xdr:nvSpPr>
      <xdr:spPr>
        <a:xfrm>
          <a:off x="704851" y="5086350"/>
          <a:ext cx="1381124" cy="247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Happy</a:t>
          </a:r>
          <a:r>
            <a:rPr lang="en-IN" sz="1400" baseline="0">
              <a:solidFill>
                <a:schemeClr val="bg1"/>
              </a:solidFill>
            </a:rPr>
            <a:t> Callers</a:t>
          </a:r>
          <a:endParaRPr lang="en-IN" sz="1400">
            <a:solidFill>
              <a:schemeClr val="bg1"/>
            </a:solidFill>
          </a:endParaRPr>
        </a:p>
      </xdr:txBody>
    </xdr:sp>
    <xdr:clientData/>
  </xdr:twoCellAnchor>
  <xdr:twoCellAnchor editAs="oneCell">
    <xdr:from>
      <xdr:col>1</xdr:col>
      <xdr:colOff>41221</xdr:colOff>
      <xdr:row>28</xdr:row>
      <xdr:rowOff>28575</xdr:rowOff>
    </xdr:from>
    <xdr:to>
      <xdr:col>1</xdr:col>
      <xdr:colOff>292156</xdr:colOff>
      <xdr:row>29</xdr:row>
      <xdr:rowOff>79485</xdr:rowOff>
    </xdr:to>
    <xdr:pic>
      <xdr:nvPicPr>
        <xdr:cNvPr id="36" name="Graphic 35">
          <a:extLst>
            <a:ext uri="{FF2B5EF4-FFF2-40B4-BE49-F238E27FC236}">
              <a16:creationId xmlns:a16="http://schemas.microsoft.com/office/drawing/2014/main" id="{1CF7A0DE-66B1-4254-BF5E-C268F89A9EB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60321" y="5095875"/>
          <a:ext cx="250935" cy="250935"/>
        </a:xfrm>
        <a:prstGeom prst="rect">
          <a:avLst/>
        </a:prstGeom>
      </xdr:spPr>
    </xdr:pic>
    <xdr:clientData/>
  </xdr:twoCellAnchor>
  <xdr:twoCellAnchor editAs="oneCell">
    <xdr:from>
      <xdr:col>14</xdr:col>
      <xdr:colOff>161925</xdr:colOff>
      <xdr:row>19</xdr:row>
      <xdr:rowOff>134711</xdr:rowOff>
    </xdr:from>
    <xdr:to>
      <xdr:col>16</xdr:col>
      <xdr:colOff>161925</xdr:colOff>
      <xdr:row>29</xdr:row>
      <xdr:rowOff>136072</xdr:rowOff>
    </xdr:to>
    <mc:AlternateContent xmlns:mc="http://schemas.openxmlformats.org/markup-compatibility/2006">
      <mc:Choice xmlns:a14="http://schemas.microsoft.com/office/drawing/2010/main" Requires="a14">
        <xdr:graphicFrame macro="">
          <xdr:nvGraphicFramePr>
            <xdr:cNvPr id="39" name="Representative">
              <a:extLst>
                <a:ext uri="{FF2B5EF4-FFF2-40B4-BE49-F238E27FC236}">
                  <a16:creationId xmlns:a16="http://schemas.microsoft.com/office/drawing/2014/main" id="{2E691E3C-76B8-4C31-AF46-622DD1A4E0F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9186182" y="3650797"/>
              <a:ext cx="1349829" cy="1939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485776</xdr:colOff>
      <xdr:row>31</xdr:row>
      <xdr:rowOff>76200</xdr:rowOff>
    </xdr:from>
    <xdr:to>
      <xdr:col>3</xdr:col>
      <xdr:colOff>200026</xdr:colOff>
      <xdr:row>32</xdr:row>
      <xdr:rowOff>114300</xdr:rowOff>
    </xdr:to>
    <xdr:sp macro="" textlink="Pivots!E8">
      <xdr:nvSpPr>
        <xdr:cNvPr id="37" name="TextBox 36">
          <a:extLst>
            <a:ext uri="{FF2B5EF4-FFF2-40B4-BE49-F238E27FC236}">
              <a16:creationId xmlns:a16="http://schemas.microsoft.com/office/drawing/2014/main" id="{C2B88908-F9AB-4012-BF68-1EE0233DFA24}"/>
            </a:ext>
          </a:extLst>
        </xdr:cNvPr>
        <xdr:cNvSpPr txBox="1"/>
      </xdr:nvSpPr>
      <xdr:spPr>
        <a:xfrm>
          <a:off x="904876" y="5686425"/>
          <a:ext cx="876300" cy="21907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5DC73-27C8-4B1E-973E-08051C9F6611}" type="TxLink">
            <a:rPr lang="en-US" sz="1100" b="0" i="0" u="none" strike="noStrike">
              <a:solidFill>
                <a:schemeClr val="bg1">
                  <a:lumMod val="95000"/>
                </a:schemeClr>
              </a:solidFill>
              <a:latin typeface="Aptos"/>
            </a:rPr>
            <a:pPr algn="ctr"/>
            <a:t>62</a:t>
          </a:fld>
          <a:endParaRPr lang="en-IN" sz="1800">
            <a:solidFill>
              <a:schemeClr val="bg1">
                <a:lumMod val="95000"/>
              </a:schemeClr>
            </a:solidFill>
          </a:endParaRPr>
        </a:p>
      </xdr:txBody>
    </xdr:sp>
    <xdr:clientData/>
  </xdr:twoCellAnchor>
  <xdr:twoCellAnchor>
    <xdr:from>
      <xdr:col>11</xdr:col>
      <xdr:colOff>628651</xdr:colOff>
      <xdr:row>6</xdr:row>
      <xdr:rowOff>104774</xdr:rowOff>
    </xdr:from>
    <xdr:to>
      <xdr:col>13</xdr:col>
      <xdr:colOff>657225</xdr:colOff>
      <xdr:row>16</xdr:row>
      <xdr:rowOff>9525</xdr:rowOff>
    </xdr:to>
    <xdr:graphicFrame macro="">
      <xdr:nvGraphicFramePr>
        <xdr:cNvPr id="41" name="Chart 40">
          <a:extLst>
            <a:ext uri="{FF2B5EF4-FFF2-40B4-BE49-F238E27FC236}">
              <a16:creationId xmlns:a16="http://schemas.microsoft.com/office/drawing/2014/main" id="{4774143D-F401-4F51-9252-FA51B55FE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95249</xdr:colOff>
      <xdr:row>3</xdr:row>
      <xdr:rowOff>114300</xdr:rowOff>
    </xdr:from>
    <xdr:to>
      <xdr:col>12</xdr:col>
      <xdr:colOff>9524</xdr:colOff>
      <xdr:row>18</xdr:row>
      <xdr:rowOff>142875</xdr:rowOff>
    </xdr:to>
    <xdr:graphicFrame macro="">
      <xdr:nvGraphicFramePr>
        <xdr:cNvPr id="40" name="Chart 39">
          <a:extLst>
            <a:ext uri="{FF2B5EF4-FFF2-40B4-BE49-F238E27FC236}">
              <a16:creationId xmlns:a16="http://schemas.microsoft.com/office/drawing/2014/main" id="{27665B53-8263-406D-88D4-A013C5309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104775</xdr:colOff>
      <xdr:row>19</xdr:row>
      <xdr:rowOff>142875</xdr:rowOff>
    </xdr:from>
    <xdr:to>
      <xdr:col>9</xdr:col>
      <xdr:colOff>165735</xdr:colOff>
      <xdr:row>34</xdr:row>
      <xdr:rowOff>171450</xdr:rowOff>
    </xdr:to>
    <xdr:graphicFrame macro="">
      <xdr:nvGraphicFramePr>
        <xdr:cNvPr id="43" name="Chart 42">
          <a:extLst>
            <a:ext uri="{FF2B5EF4-FFF2-40B4-BE49-F238E27FC236}">
              <a16:creationId xmlns:a16="http://schemas.microsoft.com/office/drawing/2014/main" id="{57D9D56B-6FED-4EE5-9F91-F991FB346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142875</xdr:colOff>
      <xdr:row>19</xdr:row>
      <xdr:rowOff>142875</xdr:rowOff>
    </xdr:from>
    <xdr:to>
      <xdr:col>14</xdr:col>
      <xdr:colOff>154305</xdr:colOff>
      <xdr:row>34</xdr:row>
      <xdr:rowOff>171450</xdr:rowOff>
    </xdr:to>
    <xdr:graphicFrame macro="">
      <xdr:nvGraphicFramePr>
        <xdr:cNvPr id="44" name="Chart 43">
          <a:extLst>
            <a:ext uri="{FF2B5EF4-FFF2-40B4-BE49-F238E27FC236}">
              <a16:creationId xmlns:a16="http://schemas.microsoft.com/office/drawing/2014/main" id="{E5B98DE2-5FFB-4E0B-B94F-8959614BF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38101</xdr:colOff>
      <xdr:row>3</xdr:row>
      <xdr:rowOff>28575</xdr:rowOff>
    </xdr:from>
    <xdr:to>
      <xdr:col>17</xdr:col>
      <xdr:colOff>631372</xdr:colOff>
      <xdr:row>16</xdr:row>
      <xdr:rowOff>123825</xdr:rowOff>
    </xdr:to>
    <xdr:graphicFrame macro="">
      <xdr:nvGraphicFramePr>
        <xdr:cNvPr id="45" name="Chart 44">
          <a:extLst>
            <a:ext uri="{FF2B5EF4-FFF2-40B4-BE49-F238E27FC236}">
              <a16:creationId xmlns:a16="http://schemas.microsoft.com/office/drawing/2014/main" id="{1153A28C-3E95-45C1-83E6-4A6BBF5D1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651782</xdr:colOff>
      <xdr:row>3</xdr:row>
      <xdr:rowOff>29935</xdr:rowOff>
    </xdr:from>
    <xdr:to>
      <xdr:col>24</xdr:col>
      <xdr:colOff>69396</xdr:colOff>
      <xdr:row>18</xdr:row>
      <xdr:rowOff>58510</xdr:rowOff>
    </xdr:to>
    <xdr:graphicFrame macro="">
      <xdr:nvGraphicFramePr>
        <xdr:cNvPr id="46" name="Chart 45">
          <a:extLst>
            <a:ext uri="{FF2B5EF4-FFF2-40B4-BE49-F238E27FC236}">
              <a16:creationId xmlns:a16="http://schemas.microsoft.com/office/drawing/2014/main" id="{67A72B89-4334-4C43-9E12-13A5B6698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8272800927" backgroundQuery="1" createdVersion="8" refreshedVersion="8" minRefreshableVersion="3" recordCount="0" supportSubquery="1" supportAdvancedDrill="1" xr:uid="{D5BFCE0D-9752-48B7-9443-CB279BE0D7CE}">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8274537036" backgroundQuery="1" createdVersion="8" refreshedVersion="8" minRefreshableVersion="3" recordCount="0" supportSubquery="1" supportAdvancedDrill="1" xr:uid="{DA3E80C5-64D7-436B-ADAF-5AE491C1B41C}">
  <cacheSource type="external" connectionId="1"/>
  <cacheFields count="3">
    <cacheField name="[Measures].[Call Count]" caption="Call Count" numFmtId="0" hierarchy="17" level="32767"/>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8275925929" backgroundQuery="1" createdVersion="8" refreshedVersion="8" minRefreshableVersion="3" recordCount="0" supportSubquery="1" supportAdvancedDrill="1" xr:uid="{024E5D0C-A5B2-4144-824C-FD6AEB748392}">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9027893521" backgroundQuery="1" createdVersion="8" refreshedVersion="8" minRefreshableVersion="3" recordCount="0" supportSubquery="1" supportAdvancedDrill="1" xr:uid="{42259E9B-C7E4-4219-8196-8840F1BFEE7A}">
  <cacheSource type="external" connectionId="1"/>
  <cacheFields count="4">
    <cacheField name="[calls].[Representative].[Representative]" caption="Representative" numFmtId="0" hierarchy="3" level="1">
      <sharedItems count="5">
        <s v="R01"/>
        <s v="R02"/>
        <s v="R03"/>
        <s v="R04"/>
        <s v="R05"/>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1"/>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1.643704166665" backgroundQuery="1" createdVersion="8" refreshedVersion="8" minRefreshableVersion="3" recordCount="0" supportSubquery="1" supportAdvancedDrill="1" xr:uid="{7E6CF00D-07B8-49DB-94DD-08791C954E4D}">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1.643704513888" backgroundQuery="1" createdVersion="8" refreshedVersion="8" minRefreshableVersion="3" recordCount="0" supportSubquery="1" supportAdvancedDrill="1" xr:uid="{F8045446-B3C1-44CE-BC0A-75292F1F8E64}">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276">
        <d v="2023-01-01T00:00:00"/>
        <d v="2023-01-02T00:00:00"/>
        <d v="2023-01-03T00:00:00"/>
        <d v="2023-01-04T00:00:00"/>
        <d v="2023-01-05T00:00:00"/>
        <d v="2023-01-08T00:00:00"/>
        <d v="2023-01-10T00:00:00"/>
        <d v="2023-01-12T00:00:00"/>
        <d v="2023-01-14T00:00:00"/>
        <d v="2023-01-15T00:00:00"/>
        <d v="2023-01-16T00:00:00"/>
        <d v="2023-01-18T00:00:00"/>
        <d v="2023-01-19T00:00:00"/>
        <d v="2023-01-20T00:00:00"/>
        <d v="2023-01-21T00:00:00"/>
        <d v="2023-01-22T00:00:00"/>
        <d v="2023-01-23T00:00:00"/>
        <d v="2023-01-24T00:00:00"/>
        <d v="2023-01-26T00:00:00"/>
        <d v="2023-01-27T00:00:00"/>
        <d v="2023-01-28T00:00:00"/>
        <d v="2023-01-30T00:00:00"/>
        <d v="2023-02-01T00:00:00"/>
        <d v="2023-02-02T00:00:00"/>
        <d v="2023-02-04T00:00:00"/>
        <d v="2023-02-05T00:00:00"/>
        <d v="2023-02-07T00:00:00"/>
        <d v="2023-02-08T00:00:00"/>
        <d v="2023-02-10T00:00:00"/>
        <d v="2023-02-12T00:00:00"/>
        <d v="2023-02-13T00:00:00"/>
        <d v="2023-02-15T00:00:00"/>
        <d v="2023-02-16T00:00:00"/>
        <d v="2023-02-17T00:00:00"/>
        <d v="2023-02-18T00:00:00"/>
        <d v="2023-02-19T00:00:00"/>
        <d v="2023-02-20T00:00:00"/>
        <d v="2023-02-22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9T00:00:00"/>
        <d v="2023-04-20T00:00:00"/>
        <d v="2023-04-21T00:00:00"/>
        <d v="2023-04-22T00:00:00"/>
        <d v="2023-04-23T00:00:00"/>
        <d v="2023-04-24T00:00:00"/>
        <d v="2023-04-25T00:00:00"/>
        <d v="2023-04-26T00:00:00"/>
        <d v="2023-04-28T00:00:00"/>
        <d v="2023-04-29T00:00:00"/>
        <d v="2023-05-01T00:00:00"/>
        <d v="2023-05-02T00:00:00"/>
        <d v="2023-05-03T00:00:00"/>
        <d v="2023-05-04T00:00:00"/>
        <d v="2023-05-08T00:00:00"/>
        <d v="2023-05-09T00:00:00"/>
        <d v="2023-05-11T00:00:00"/>
        <d v="2023-05-12T00:00:00"/>
        <d v="2023-05-14T00:00:00"/>
        <d v="2023-05-15T00:00:00"/>
        <d v="2023-05-16T00:00:00"/>
        <d v="2023-05-17T00:00:00"/>
        <d v="2023-05-18T00:00:00"/>
        <d v="2023-05-19T00:00:00"/>
        <d v="2023-05-21T00:00:00"/>
        <d v="2023-05-22T00:00:00"/>
        <d v="2023-05-24T00:00:00"/>
        <d v="2023-05-25T00:00:00"/>
        <d v="2023-05-26T00:00:00"/>
        <d v="2023-05-28T00:00:00"/>
        <d v="2023-05-30T00:00:00"/>
        <d v="2023-05-31T00:00:00"/>
        <d v="2023-06-01T00:00:00"/>
        <d v="2023-06-03T00:00:00"/>
        <d v="2023-06-04T00:00:00"/>
        <d v="2023-06-05T00:00:00"/>
        <d v="2023-06-06T00:00:00"/>
        <d v="2023-06-07T00:00:00"/>
        <d v="2023-06-08T00:00:00"/>
        <d v="2023-06-09T00:00:00"/>
        <d v="2023-06-10T00:00:00"/>
        <d v="2023-06-11T00:00:00"/>
        <d v="2023-06-12T00:00:00"/>
        <d v="2023-06-14T00:00:00"/>
        <d v="2023-06-15T00:00:00"/>
        <d v="2023-06-16T00:00:00"/>
        <d v="2023-06-17T00:00:00"/>
        <d v="2023-06-18T00:00:00"/>
        <d v="2023-06-19T00:00:00"/>
        <d v="2023-06-20T00:00:00"/>
        <d v="2023-06-21T00:00:00"/>
        <d v="2023-06-23T00:00:00"/>
        <d v="2023-06-25T00:00:00"/>
        <d v="2023-06-26T00:00:00"/>
        <d v="2023-06-27T00:00:00"/>
        <d v="2023-07-01T00:00:00"/>
        <d v="2023-07-02T00:00:00"/>
        <d v="2023-07-04T00:00:00"/>
        <d v="2023-07-06T00:00:00"/>
        <d v="2023-07-07T00:00:00"/>
        <d v="2023-07-08T00:00:00"/>
        <d v="2023-07-09T00:00:00"/>
        <d v="2023-07-10T00:00:00"/>
        <d v="2023-07-11T00:00:00"/>
        <d v="2023-07-12T00:00:00"/>
        <d v="2023-07-13T00:00:00"/>
        <d v="2023-07-14T00:00:00"/>
        <d v="2023-07-16T00:00:00"/>
        <d v="2023-07-17T00:00:00"/>
        <d v="2023-07-19T00:00:00"/>
        <d v="2023-07-20T00:00:00"/>
        <d v="2023-07-21T00:00:00"/>
        <d v="2023-07-22T00:00:00"/>
        <d v="2023-07-25T00:00:00"/>
        <d v="2023-07-26T00:00:00"/>
        <d v="2023-07-27T00:00:00"/>
        <d v="2023-07-31T00:00:00"/>
        <d v="2023-08-03T00:00:00"/>
        <d v="2023-08-04T00:00:00"/>
        <d v="2023-08-05T00:00:00"/>
        <d v="2023-08-06T00:00:00"/>
        <d v="2023-08-07T00:00:00"/>
        <d v="2023-08-08T00:00:00"/>
        <d v="2023-08-10T00:00:00"/>
        <d v="2023-08-12T00:00:00"/>
        <d v="2023-08-13T00:00:00"/>
        <d v="2023-08-17T00:00:00"/>
        <d v="2023-08-19T00:00:00"/>
        <d v="2023-08-20T00:00:00"/>
        <d v="2023-08-21T00:00:00"/>
        <d v="2023-08-24T00:00:00"/>
        <d v="2023-08-25T00:00:00"/>
        <d v="2023-08-26T00:00:00"/>
        <d v="2023-08-27T00:00:00"/>
        <d v="2023-08-29T00:00:00"/>
        <d v="2023-08-30T00:00:00"/>
        <d v="2023-08-31T00:00:00"/>
        <d v="2023-09-01T00:00:00"/>
        <d v="2023-09-03T00:00:00"/>
        <d v="2023-09-04T00:00:00"/>
        <d v="2023-09-06T00:00:00"/>
        <d v="2023-09-07T00:00:00"/>
        <d v="2023-09-08T00:00:00"/>
        <d v="2023-09-09T00:00:00"/>
        <d v="2023-09-10T00:00:00"/>
        <d v="2023-09-12T00:00:00"/>
        <d v="2023-09-13T00:00:00"/>
        <d v="2023-09-14T00:00:00"/>
        <d v="2023-09-16T00:00:00"/>
        <d v="2023-09-19T00:00:00"/>
        <d v="2023-09-21T00:00:00"/>
        <d v="2023-09-22T00:00:00"/>
        <d v="2023-09-23T00:00:00"/>
        <d v="2023-09-24T00:00:00"/>
        <d v="2023-09-25T00:00:00"/>
        <d v="2023-09-27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0T00:00:00"/>
        <d v="2023-10-31T00:00:00"/>
        <d v="2023-11-01T00:00:00"/>
        <d v="2023-11-03T00:00:00"/>
        <d v="2023-11-04T00:00:00"/>
        <d v="2023-11-06T00:00:00"/>
        <d v="2023-11-07T00:00:00"/>
        <d v="2023-11-08T00:00:00"/>
        <d v="2023-11-10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8T00:00:00"/>
        <d v="2023-12-09T00:00:00"/>
        <d v="2023-12-13T00:00:00"/>
        <d v="2023-12-15T00:00:00"/>
        <d v="2023-12-17T00:00:00"/>
        <d v="2023-12-19T00:00:00"/>
        <d v="2023-12-20T00:00:00"/>
        <d v="2023-12-21T00:00:00"/>
        <d v="2023-12-24T00:00:00"/>
        <d v="2023-12-25T00:00:00"/>
        <d v="2023-12-26T00:00:00"/>
        <d v="2023-12-28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1.643704861111" backgroundQuery="1" createdVersion="8" refreshedVersion="8" minRefreshableVersion="3" recordCount="0" supportSubquery="1" supportAdvancedDrill="1" xr:uid="{20F75835-6E3D-46C1-941B-99B56E19EAF0}">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1.643705208335" backgroundQuery="1" createdVersion="8" refreshedVersion="8" minRefreshableVersion="3" recordCount="0" supportSubquery="1" supportAdvancedDrill="1" xr:uid="{12222E00-E411-4970-8AEE-6D282E80A77A}">
  <cacheSource type="external" connectionId="1"/>
  <cacheFields count="1">
    <cacheField name="[calls].[Representative].[Representative]" caption="Representative" numFmtId="0" hierarchy="3" level="1">
      <sharedItems count="1">
        <s v="R04"/>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1.643705555558" backgroundQuery="1" createdVersion="8" refreshedVersion="8" minRefreshableVersion="3" recordCount="0" supportSubquery="1" supportAdvancedDrill="1" xr:uid="{9FEAB76F-01D6-40F4-B760-279BFAE8B1D9}">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8276851852" backgroundQuery="1" createdVersion="3" refreshedVersion="8" minRefreshableVersion="3" recordCount="0" supportSubquery="1" supportAdvancedDrill="1" xr:uid="{B759A5D3-E939-4376-906E-902E1859F76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219614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149A8C-FC98-455C-BDA9-62275D6FC7F2}"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06:G12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efaultSubtotal="0" defaultAttributeDrillState="1">
      <items count="3">
        <item x="0"/>
        <item x="1"/>
        <item x="2"/>
      </items>
    </pivotField>
    <pivotField dataField="1" subtotalTop="0" showAll="0" defaultSubtotal="0"/>
  </pivotFields>
  <rowFields count="2">
    <field x="2"/>
    <field x="1"/>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C1275-DF54-4137-B5B4-F36B07002327}" name="rep satisfaction"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89:B9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4F4B9-1836-4A99-BE67-C2EA9521B787}" name="Montly Table" cacheId="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24EE32-6515-4E91-A221-9A740BC0980C}" name="Weekly Trend" cacheId="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G24:H32"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7F2070-05EE-4013-95AF-8ACBA817DFCE}" name="rep pivot"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31DCBB-0E98-451C-ADAF-7D5BEEA2F8D5}" name="selected rep" cacheId="8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13">
      <pivotArea dataOnly="0" labelOnly="1" fieldPosition="0">
        <references count="1">
          <reference field="0" count="0"/>
        </references>
      </pivotArea>
    </format>
    <format dxfId="12">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D3096E-941A-41B0-9499-2CDBB15296FB}"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49A9C8-1066-4697-9D05-68EBEE7B1404}"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8" firstHeaderRow="0"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fld="0"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0C08D1-A2D0-4F57-88EA-70302EC4E79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8">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0" count="1" selected="0">
            <x v="0"/>
          </reference>
          <reference field="1" count="1" selected="0">
            <x v="0"/>
          </reference>
        </references>
      </pivotArea>
    </chartFormat>
    <chartFormat chart="5" format="7">
      <pivotArea type="data" outline="0" fieldPosition="0">
        <references count="3">
          <reference field="4294967294" count="1" selected="0">
            <x v="0"/>
          </reference>
          <reference field="0" count="1" selected="0">
            <x v="1"/>
          </reference>
          <reference field="1" count="1" selected="0">
            <x v="0"/>
          </reference>
        </references>
      </pivotArea>
    </chartFormat>
    <chartFormat chart="5" format="8">
      <pivotArea type="data" outline="0" fieldPosition="0">
        <references count="3">
          <reference field="4294967294" count="1" selected="0">
            <x v="0"/>
          </reference>
          <reference field="0" count="1" selected="0">
            <x v="2"/>
          </reference>
          <reference field="1" count="1" selected="0">
            <x v="0"/>
          </reference>
        </references>
      </pivotArea>
    </chartFormat>
    <chartFormat chart="5" format="9">
      <pivotArea type="data" outline="0" fieldPosition="0">
        <references count="3">
          <reference field="4294967294" count="1" selected="0">
            <x v="0"/>
          </reference>
          <reference field="0" count="1" selected="0">
            <x v="0"/>
          </reference>
          <reference field="1" count="1" selected="0">
            <x v="1"/>
          </reference>
        </references>
      </pivotArea>
    </chartFormat>
    <chartFormat chart="5" format="10">
      <pivotArea type="data" outline="0" fieldPosition="0">
        <references count="3">
          <reference field="4294967294" count="1" selected="0">
            <x v="0"/>
          </reference>
          <reference field="0" count="1" selected="0">
            <x v="1"/>
          </reference>
          <reference field="1" count="1" selected="0">
            <x v="1"/>
          </reference>
        </references>
      </pivotArea>
    </chartFormat>
    <chartFormat chart="5" format="11">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507E6E4-4675-45BD-9647-F18C1028736A}" sourceName="[calls].[Representative]">
  <pivotTables>
    <pivotTable tabId="6" name="rep pivot"/>
    <pivotTable tabId="6" name="Montly Table"/>
    <pivotTable tabId="6" name="Weekly Trend"/>
    <pivotTable tabId="6" name="selected rep"/>
    <pivotTable tabId="6" name="rep satisfaction"/>
  </pivotTables>
  <data>
    <olap pivotCacheId="192196148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E98E90F-0995-467A-8BCA-1BEF719E196A}"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7"/>
    <tableColumn id="5" xr3:uid="{5A35565E-8707-4DED-AD15-A0669D67B382}" name="Date of Call" dataDxfId="26"/>
    <tableColumn id="6" xr3:uid="{F2E4F158-B41F-47BC-8DF8-DFCADFEE4E40}" name="Purchase Amount"/>
    <tableColumn id="7" xr3:uid="{04B291B5-47BD-4F78-8FD8-D1551CCA6BD9}" name="Satisfaction Rating"/>
    <tableColumn id="8" xr3:uid="{6E4123C0-0B17-43B8-A142-A1E540CE974C}" name="FY" dataDxfId="25">
      <calculatedColumnFormula>IF(MONTH(calls[[#This Row],[Date of Call]])&lt;=6, YEAR(calls[[#This Row],[Date of Call]]), YEAR(calls[[#This Row],[Date of Call]])+1)</calculatedColumnFormula>
    </tableColumn>
    <tableColumn id="9" xr3:uid="{199FA271-5E9B-46CE-9BC6-2801F92CD17E}" name="Day of week" dataDxfId="24">
      <calculatedColumnFormula>TEXT(calls[[#This Row],[Date of Call]],"DDDD")</calculatedColumnFormula>
    </tableColumn>
    <tableColumn id="10" xr3:uid="{328CDB09-95B8-4D5E-9ED9-EF0D363735A1}" name="Duration Bucket" dataDxfId="2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2">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1" headerRowBorderDxfId="20" tableBorderDxfId="19" totalsRowBorderDxfId="18">
  <autoFilter ref="Q3:T18" xr:uid="{27158F51-A707-4171-8A04-81FB0AABCBA5}"/>
  <tableColumns count="4">
    <tableColumn id="1" xr3:uid="{02688061-6A8C-4E23-B7FF-D00CD8B58CAC}" name="Customer ID" dataDxfId="17"/>
    <tableColumn id="2" xr3:uid="{771678B6-DB44-426B-9874-B4E421A440D5}" name="Gedner" dataDxfId="16"/>
    <tableColumn id="3" xr3:uid="{B0D41C62-587E-494D-B49A-603F2C05F8D3}" name="Age" dataDxfId="15"/>
    <tableColumn id="4" xr3:uid="{663F92D6-FE31-4D81-9E01-8D066DDC8A88}" name="City" dataDxfId="1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01" zoomScaleNormal="115" workbookViewId="0">
      <selection activeCell="T4" sqref="T4"/>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zoomScale="115" zoomScaleNormal="115" workbookViewId="0">
      <selection activeCell="C5" sqref="C5"/>
    </sheetView>
  </sheetViews>
  <sheetFormatPr defaultRowHeight="14.4" x14ac:dyDescent="0.3"/>
  <cols>
    <col min="5" max="5" width="10.8984375" customWidth="1"/>
    <col min="6" max="6" width="9.8984375" customWidth="1"/>
  </cols>
  <sheetData>
    <row r="3" ht="25.5" customHeight="1" x14ac:dyDescent="0.3"/>
    <row r="4" ht="25.5" customHeight="1" x14ac:dyDescent="0.3"/>
    <row r="5" ht="25.5" customHeight="1" x14ac:dyDescent="0.3"/>
    <row r="6" ht="25.5" customHeight="1" x14ac:dyDescent="0.3"/>
    <row r="7" ht="25.5" customHeight="1"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55B01-6C95-423B-8175-E89BA77AE9A7}">
  <dimension ref="A22:Z43"/>
  <sheetViews>
    <sheetView tabSelected="1" topLeftCell="A3" zoomScale="70" zoomScaleNormal="70" workbookViewId="0">
      <selection activeCell="R20" sqref="R20"/>
    </sheetView>
  </sheetViews>
  <sheetFormatPr defaultRowHeight="14.4" x14ac:dyDescent="0.3"/>
  <cols>
    <col min="1" max="1" width="5.5" style="20" customWidth="1"/>
    <col min="2" max="2" width="6.5" style="20" customWidth="1"/>
    <col min="3" max="17" width="8.796875" style="20"/>
    <col min="18" max="18" width="12.19921875" style="20" customWidth="1"/>
    <col min="19" max="19" width="11.796875" style="20" customWidth="1"/>
    <col min="20" max="21" width="8.796875" style="20"/>
    <col min="22" max="22" width="10.3984375" style="20" customWidth="1"/>
    <col min="23" max="23" width="8.796875" style="20"/>
    <col min="24" max="24" width="10.59765625" style="20" customWidth="1"/>
    <col min="25" max="26" width="8.796875" style="20"/>
  </cols>
  <sheetData>
    <row r="22" spans="18:24" ht="15.6" x14ac:dyDescent="0.3">
      <c r="R22" s="31"/>
      <c r="S22" s="32" t="str">
        <f>Pivots!B107</f>
        <v>R01</v>
      </c>
      <c r="T22" s="32" t="str">
        <f>Pivots!C107</f>
        <v>R02</v>
      </c>
      <c r="U22" s="32" t="str">
        <f>Pivots!D107</f>
        <v>R03</v>
      </c>
      <c r="V22" s="32" t="str">
        <f>Pivots!E107</f>
        <v>R04</v>
      </c>
      <c r="W22" s="32" t="str">
        <f>Pivots!F107</f>
        <v>R05</v>
      </c>
      <c r="X22" s="33" t="str">
        <f>Pivots!G107</f>
        <v>Grand Total</v>
      </c>
    </row>
    <row r="23" spans="18:24" ht="15.6" x14ac:dyDescent="0.3">
      <c r="R23" s="34" t="str">
        <f>IF(Pivots!A108=0,"",Pivots!A108)</f>
        <v>Cincinnati</v>
      </c>
      <c r="S23" s="35">
        <f>Pivots!B108</f>
        <v>0</v>
      </c>
      <c r="T23" s="35">
        <f>Pivots!C108</f>
        <v>0</v>
      </c>
      <c r="U23" s="35">
        <f>Pivots!D108</f>
        <v>0</v>
      </c>
      <c r="V23" s="35">
        <f>Pivots!E108</f>
        <v>0</v>
      </c>
      <c r="W23" s="35">
        <f>Pivots!F108</f>
        <v>0</v>
      </c>
      <c r="X23" s="36" t="str">
        <f>IF(Pivots!G108=0,"",Pivots!G108)</f>
        <v/>
      </c>
    </row>
    <row r="24" spans="18:24" ht="15.6" x14ac:dyDescent="0.3">
      <c r="R24" s="37" t="str">
        <f>IF(Pivots!A109=0,"",Pivots!A109)</f>
        <v>C0003</v>
      </c>
      <c r="S24" s="35">
        <f>Pivots!B109</f>
        <v>891</v>
      </c>
      <c r="T24" s="35">
        <f>Pivots!C109</f>
        <v>1332</v>
      </c>
      <c r="U24" s="35">
        <f>Pivots!D109</f>
        <v>1282</v>
      </c>
      <c r="V24" s="35">
        <f>Pivots!E109</f>
        <v>739</v>
      </c>
      <c r="W24" s="35">
        <f>Pivots!F109</f>
        <v>560</v>
      </c>
      <c r="X24" s="38">
        <f>IF(Pivots!G109=0,"",Pivots!G109)</f>
        <v>4804</v>
      </c>
    </row>
    <row r="25" spans="18:24" ht="15.6" x14ac:dyDescent="0.3">
      <c r="R25" s="37" t="str">
        <f>IF(Pivots!A110=0,"",Pivots!A110)</f>
        <v>C0004</v>
      </c>
      <c r="S25" s="35">
        <f>Pivots!B110</f>
        <v>1991</v>
      </c>
      <c r="T25" s="35">
        <f>Pivots!C110</f>
        <v>1886</v>
      </c>
      <c r="U25" s="35">
        <f>Pivots!D110</f>
        <v>1206</v>
      </c>
      <c r="V25" s="35">
        <f>Pivots!E110</f>
        <v>884</v>
      </c>
      <c r="W25" s="35">
        <f>Pivots!F110</f>
        <v>1722</v>
      </c>
      <c r="X25" s="38">
        <f>IF(Pivots!G110=0,"",Pivots!G110)</f>
        <v>7689</v>
      </c>
    </row>
    <row r="26" spans="18:24" ht="15.6" x14ac:dyDescent="0.3">
      <c r="R26" s="37" t="str">
        <f>IF(Pivots!A111=0,"",Pivots!A111)</f>
        <v>C0011</v>
      </c>
      <c r="S26" s="35">
        <f>Pivots!B111</f>
        <v>1163</v>
      </c>
      <c r="T26" s="35">
        <f>Pivots!C111</f>
        <v>1180</v>
      </c>
      <c r="U26" s="35">
        <f>Pivots!D111</f>
        <v>1616</v>
      </c>
      <c r="V26" s="35">
        <f>Pivots!E111</f>
        <v>1043</v>
      </c>
      <c r="W26" s="35">
        <f>Pivots!F111</f>
        <v>1747</v>
      </c>
      <c r="X26" s="38">
        <f>IF(Pivots!G111=0,"",Pivots!G111)</f>
        <v>6749</v>
      </c>
    </row>
    <row r="27" spans="18:24" ht="15.6" x14ac:dyDescent="0.3">
      <c r="R27" s="37" t="str">
        <f>IF(Pivots!A112=0,"",Pivots!A112)</f>
        <v>C0012</v>
      </c>
      <c r="S27" s="35">
        <f>Pivots!B112</f>
        <v>1438</v>
      </c>
      <c r="T27" s="35">
        <f>Pivots!C112</f>
        <v>1616</v>
      </c>
      <c r="U27" s="35">
        <f>Pivots!D112</f>
        <v>866</v>
      </c>
      <c r="V27" s="35">
        <f>Pivots!E112</f>
        <v>829</v>
      </c>
      <c r="W27" s="35">
        <f>Pivots!F112</f>
        <v>2070</v>
      </c>
      <c r="X27" s="38">
        <f>IF(Pivots!G112=0,"",Pivots!G112)</f>
        <v>6819</v>
      </c>
    </row>
    <row r="28" spans="18:24" ht="15.6" x14ac:dyDescent="0.3">
      <c r="R28" s="34" t="str">
        <f>IF(Pivots!A113=0,"",Pivots!A113)</f>
        <v>Cleveland</v>
      </c>
      <c r="S28" s="35">
        <f>Pivots!B113</f>
        <v>0</v>
      </c>
      <c r="T28" s="35">
        <f>Pivots!C113</f>
        <v>0</v>
      </c>
      <c r="U28" s="35">
        <f>Pivots!D113</f>
        <v>0</v>
      </c>
      <c r="V28" s="35">
        <f>Pivots!E113</f>
        <v>0</v>
      </c>
      <c r="W28" s="35">
        <f>Pivots!F113</f>
        <v>0</v>
      </c>
      <c r="X28" s="38" t="str">
        <f>IF(Pivots!G113=0,"",Pivots!G113)</f>
        <v/>
      </c>
    </row>
    <row r="29" spans="18:24" ht="15.6" x14ac:dyDescent="0.3">
      <c r="R29" s="37" t="str">
        <f>IF(Pivots!A114=0,"",Pivots!A114)</f>
        <v>C0002</v>
      </c>
      <c r="S29" s="35">
        <f>Pivots!B114</f>
        <v>1233</v>
      </c>
      <c r="T29" s="35">
        <f>Pivots!C114</f>
        <v>223</v>
      </c>
      <c r="U29" s="35">
        <f>Pivots!D114</f>
        <v>1680</v>
      </c>
      <c r="V29" s="35">
        <f>Pivots!E114</f>
        <v>990</v>
      </c>
      <c r="W29" s="35">
        <f>Pivots!F114</f>
        <v>1508</v>
      </c>
      <c r="X29" s="38">
        <f>IF(Pivots!G114=0,"",Pivots!G114)</f>
        <v>5634</v>
      </c>
    </row>
    <row r="30" spans="18:24" ht="15.6" x14ac:dyDescent="0.3">
      <c r="R30" s="37" t="str">
        <f>IF(Pivots!A115=0,"",Pivots!A115)</f>
        <v>C0007</v>
      </c>
      <c r="S30" s="35">
        <f>Pivots!B115</f>
        <v>1598</v>
      </c>
      <c r="T30" s="35">
        <f>Pivots!C115</f>
        <v>1907</v>
      </c>
      <c r="U30" s="35">
        <f>Pivots!D115</f>
        <v>869</v>
      </c>
      <c r="V30" s="35">
        <f>Pivots!E115</f>
        <v>1426</v>
      </c>
      <c r="W30" s="35">
        <f>Pivots!F115</f>
        <v>1416</v>
      </c>
      <c r="X30" s="38">
        <f>IF(Pivots!G115=0,"",Pivots!G115)</f>
        <v>7216</v>
      </c>
    </row>
    <row r="31" spans="18:24" ht="15.6" x14ac:dyDescent="0.3">
      <c r="R31" s="37" t="str">
        <f>IF(Pivots!A116=0,"",Pivots!A116)</f>
        <v>C0008</v>
      </c>
      <c r="S31" s="35">
        <f>Pivots!B116</f>
        <v>900</v>
      </c>
      <c r="T31" s="35">
        <f>Pivots!C116</f>
        <v>1016</v>
      </c>
      <c r="U31" s="35">
        <f>Pivots!D116</f>
        <v>960</v>
      </c>
      <c r="V31" s="35">
        <f>Pivots!E116</f>
        <v>940</v>
      </c>
      <c r="W31" s="35">
        <f>Pivots!F116</f>
        <v>1193</v>
      </c>
      <c r="X31" s="38">
        <f>IF(Pivots!G116=0,"",Pivots!G116)</f>
        <v>5009</v>
      </c>
    </row>
    <row r="32" spans="18:24" ht="15.6" x14ac:dyDescent="0.3">
      <c r="R32" s="37" t="str">
        <f>IF(Pivots!A117=0,"",Pivots!A117)</f>
        <v>C0010</v>
      </c>
      <c r="S32" s="35">
        <f>Pivots!B117</f>
        <v>900</v>
      </c>
      <c r="T32" s="35">
        <f>Pivots!C117</f>
        <v>1470</v>
      </c>
      <c r="U32" s="35">
        <f>Pivots!D117</f>
        <v>1617</v>
      </c>
      <c r="V32" s="35">
        <f>Pivots!E117</f>
        <v>1314</v>
      </c>
      <c r="W32" s="35">
        <f>Pivots!F117</f>
        <v>941</v>
      </c>
      <c r="X32" s="38">
        <f>IF(Pivots!G117=0,"",Pivots!G117)</f>
        <v>6242</v>
      </c>
    </row>
    <row r="33" spans="18:24" ht="15.6" x14ac:dyDescent="0.3">
      <c r="R33" s="37" t="str">
        <f>IF(Pivots!A118=0,"",Pivots!A118)</f>
        <v>C0013</v>
      </c>
      <c r="S33" s="35">
        <f>Pivots!B118</f>
        <v>1255</v>
      </c>
      <c r="T33" s="35">
        <f>Pivots!C118</f>
        <v>516</v>
      </c>
      <c r="U33" s="35">
        <f>Pivots!D118</f>
        <v>1874</v>
      </c>
      <c r="V33" s="35">
        <f>Pivots!E118</f>
        <v>1863</v>
      </c>
      <c r="W33" s="35">
        <f>Pivots!F118</f>
        <v>1722</v>
      </c>
      <c r="X33" s="38">
        <f>IF(Pivots!G118=0,"",Pivots!G118)</f>
        <v>7230</v>
      </c>
    </row>
    <row r="34" spans="18:24" ht="15.6" x14ac:dyDescent="0.3">
      <c r="R34" s="37" t="str">
        <f>IF(Pivots!A119=0,"",Pivots!A119)</f>
        <v>C0015</v>
      </c>
      <c r="S34" s="35">
        <f>Pivots!B119</f>
        <v>1138</v>
      </c>
      <c r="T34" s="35">
        <f>Pivots!C119</f>
        <v>1898</v>
      </c>
      <c r="U34" s="35">
        <f>Pivots!D119</f>
        <v>1482</v>
      </c>
      <c r="V34" s="35">
        <f>Pivots!E119</f>
        <v>846</v>
      </c>
      <c r="W34" s="35">
        <f>Pivots!F119</f>
        <v>1154</v>
      </c>
      <c r="X34" s="38">
        <f>IF(Pivots!G119=0,"",Pivots!G119)</f>
        <v>6518</v>
      </c>
    </row>
    <row r="35" spans="18:24" ht="15.6" x14ac:dyDescent="0.3">
      <c r="R35" s="34" t="str">
        <f>IF(Pivots!A120=0,"",Pivots!A120)</f>
        <v>Columbus</v>
      </c>
      <c r="S35" s="35">
        <f>Pivots!B120</f>
        <v>0</v>
      </c>
      <c r="T35" s="35">
        <f>Pivots!C120</f>
        <v>0</v>
      </c>
      <c r="U35" s="35">
        <f>Pivots!D120</f>
        <v>0</v>
      </c>
      <c r="V35" s="35">
        <f>Pivots!E120</f>
        <v>0</v>
      </c>
      <c r="W35" s="35">
        <f>Pivots!F120</f>
        <v>0</v>
      </c>
      <c r="X35" s="38" t="str">
        <f>IF(Pivots!G120=0,"",Pivots!G120)</f>
        <v/>
      </c>
    </row>
    <row r="36" spans="18:24" ht="15.6" x14ac:dyDescent="0.3">
      <c r="R36" s="37" t="str">
        <f>IF(Pivots!A121=0,"",Pivots!A121)</f>
        <v>C0001</v>
      </c>
      <c r="S36" s="35">
        <f>Pivots!B121</f>
        <v>1655</v>
      </c>
      <c r="T36" s="35">
        <f>Pivots!C121</f>
        <v>805</v>
      </c>
      <c r="U36" s="35">
        <f>Pivots!D121</f>
        <v>2263</v>
      </c>
      <c r="V36" s="35">
        <f>Pivots!E121</f>
        <v>987</v>
      </c>
      <c r="W36" s="35">
        <f>Pivots!F121</f>
        <v>1075</v>
      </c>
      <c r="X36" s="38">
        <f>IF(Pivots!G121=0,"",Pivots!G121)</f>
        <v>6785</v>
      </c>
    </row>
    <row r="37" spans="18:24" ht="15.6" x14ac:dyDescent="0.3">
      <c r="R37" s="37" t="str">
        <f>IF(Pivots!A122=0,"",Pivots!A122)</f>
        <v>C0005</v>
      </c>
      <c r="S37" s="35">
        <f>Pivots!B122</f>
        <v>1104</v>
      </c>
      <c r="T37" s="35">
        <f>Pivots!C122</f>
        <v>2280</v>
      </c>
      <c r="U37" s="35">
        <f>Pivots!D122</f>
        <v>1445</v>
      </c>
      <c r="V37" s="35">
        <f>Pivots!E122</f>
        <v>1722</v>
      </c>
      <c r="W37" s="35">
        <f>Pivots!F122</f>
        <v>1196</v>
      </c>
      <c r="X37" s="38">
        <f>IF(Pivots!G122=0,"",Pivots!G122)</f>
        <v>7747</v>
      </c>
    </row>
    <row r="38" spans="18:24" ht="15.6" x14ac:dyDescent="0.3">
      <c r="R38" s="37" t="str">
        <f>IF(Pivots!A123=0,"",Pivots!A123)</f>
        <v>C0006</v>
      </c>
      <c r="S38" s="35">
        <f>Pivots!B123</f>
        <v>372</v>
      </c>
      <c r="T38" s="35">
        <f>Pivots!C123</f>
        <v>1818</v>
      </c>
      <c r="U38" s="35">
        <f>Pivots!D123</f>
        <v>1346</v>
      </c>
      <c r="V38" s="35">
        <f>Pivots!E123</f>
        <v>1156</v>
      </c>
      <c r="W38" s="35">
        <f>Pivots!F123</f>
        <v>1484</v>
      </c>
      <c r="X38" s="38">
        <f>IF(Pivots!G123=0,"",Pivots!G123)</f>
        <v>6176</v>
      </c>
    </row>
    <row r="39" spans="18:24" ht="15.6" x14ac:dyDescent="0.3">
      <c r="R39" s="37" t="str">
        <f>IF(Pivots!A124=0,"",Pivots!A124)</f>
        <v>C0009</v>
      </c>
      <c r="S39" s="35">
        <f>Pivots!B124</f>
        <v>1415</v>
      </c>
      <c r="T39" s="35">
        <f>Pivots!C124</f>
        <v>1271</v>
      </c>
      <c r="U39" s="35">
        <f>Pivots!D124</f>
        <v>1214</v>
      </c>
      <c r="V39" s="35">
        <f>Pivots!E124</f>
        <v>1135</v>
      </c>
      <c r="W39" s="35">
        <f>Pivots!F124</f>
        <v>1566</v>
      </c>
      <c r="X39" s="38">
        <f>IF(Pivots!G124=0,"",Pivots!G124)</f>
        <v>6601</v>
      </c>
    </row>
    <row r="40" spans="18:24" ht="15.6" x14ac:dyDescent="0.3">
      <c r="R40" s="39" t="str">
        <f>IF(Pivots!A125=0,"",Pivots!A125)</f>
        <v>C0014</v>
      </c>
      <c r="S40" s="40">
        <f>Pivots!B125</f>
        <v>1362</v>
      </c>
      <c r="T40" s="40">
        <f>Pivots!C125</f>
        <v>1363</v>
      </c>
      <c r="U40" s="40">
        <f>Pivots!D125</f>
        <v>1152</v>
      </c>
      <c r="V40" s="40">
        <f>Pivots!E125</f>
        <v>777</v>
      </c>
      <c r="W40" s="40">
        <f>Pivots!F125</f>
        <v>750</v>
      </c>
      <c r="X40" s="41">
        <f>IF(Pivots!G125=0,"",Pivots!G125)</f>
        <v>5404</v>
      </c>
    </row>
    <row r="41" spans="18:24" ht="15.6" x14ac:dyDescent="0.3">
      <c r="R41" s="29"/>
      <c r="S41" s="30"/>
      <c r="T41" s="30"/>
      <c r="U41" s="30"/>
      <c r="V41" s="30"/>
      <c r="W41" s="30"/>
      <c r="X41" s="30"/>
    </row>
    <row r="42" spans="18:24" x14ac:dyDescent="0.3">
      <c r="W42" s="20" t="str">
        <f>IF(Pivots!F127=0,"",Pivots!F127)</f>
        <v/>
      </c>
    </row>
    <row r="43" spans="18:24" x14ac:dyDescent="0.3">
      <c r="W43" s="20" t="str">
        <f>IF(Pivots!F128=0,"",Pivots!F128)</f>
        <v/>
      </c>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B88AF9E6-AF60-4C92-8461-461938150F64}">
            <xm:f>S$22=Pivots!$A$66</xm:f>
            <x14:dxf>
              <fill>
                <patternFill>
                  <bgColor theme="9" tint="0.79998168889431442"/>
                </patternFill>
              </fill>
              <border>
                <left style="thin">
                  <color auto="1"/>
                </left>
                <right style="thin">
                  <color auto="1"/>
                </right>
                <top style="thin">
                  <color theme="1" tint="0.34998626667073579"/>
                </top>
                <bottom style="thin">
                  <color theme="1" tint="0.34998626667073579"/>
                </bottom>
                <vertical/>
                <horizontal/>
              </border>
            </x14:dxf>
          </x14:cfRule>
          <x14:cfRule type="expression" priority="2" id="{19EFE25E-8732-45C6-A548-C3277A0C710A}">
            <xm:f>S$22=Pivots!$A$66</xm:f>
            <x14:dxf>
              <fill>
                <patternFill>
                  <bgColor theme="8" tint="0.59996337778862885"/>
                </patternFill>
              </fill>
              <border>
                <left style="thin">
                  <color auto="1"/>
                </left>
                <right style="thin">
                  <color auto="1"/>
                </right>
                <vertical/>
                <horizontal/>
              </border>
            </x14:dxf>
          </x14:cfRule>
          <xm:sqref>T22:X22 S22:S40 T23:W40</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B789-6DA7-4B2B-8E1C-D6D53D172D95}">
  <dimension ref="A3:I126"/>
  <sheetViews>
    <sheetView topLeftCell="A18" workbookViewId="0">
      <selection activeCell="A66" sqref="A66"/>
    </sheetView>
  </sheetViews>
  <sheetFormatPr defaultRowHeight="14.4" x14ac:dyDescent="0.3"/>
  <cols>
    <col min="1" max="1" width="12.19921875" bestFit="1" customWidth="1"/>
    <col min="2" max="2" width="9.5" bestFit="1" customWidth="1"/>
    <col min="3" max="3" width="10.5" bestFit="1" customWidth="1"/>
    <col min="4" max="4" width="13.09765625" bestFit="1" customWidth="1"/>
    <col min="5" max="5" width="7.296875" bestFit="1" customWidth="1"/>
    <col min="6" max="6" width="7.3984375" bestFit="1" customWidth="1"/>
    <col min="7" max="7" width="12.19921875" bestFit="1" customWidth="1"/>
    <col min="8" max="8" width="9.5" bestFit="1" customWidth="1"/>
    <col min="9" max="9" width="11.59765625" bestFit="1" customWidth="1"/>
    <col min="10" max="10" width="9.5" bestFit="1" customWidth="1"/>
    <col min="11" max="11" width="11.59765625" bestFit="1" customWidth="1"/>
    <col min="12" max="12" width="14" bestFit="1" customWidth="1"/>
    <col min="13" max="13" width="16.09765625" bestFit="1" customWidth="1"/>
  </cols>
  <sheetData>
    <row r="3" spans="1:5" x14ac:dyDescent="0.3">
      <c r="A3" t="s">
        <v>1040</v>
      </c>
      <c r="B3" t="s">
        <v>1041</v>
      </c>
      <c r="C3" t="s">
        <v>1042</v>
      </c>
      <c r="D3" t="s">
        <v>1043</v>
      </c>
      <c r="E3" t="s">
        <v>1044</v>
      </c>
    </row>
    <row r="4" spans="1:5" x14ac:dyDescent="0.3">
      <c r="A4" s="21">
        <v>1000</v>
      </c>
      <c r="B4" s="22">
        <v>96623</v>
      </c>
      <c r="C4" s="21">
        <v>89850</v>
      </c>
      <c r="D4" s="23">
        <v>3.8854000000000033</v>
      </c>
      <c r="E4" s="21">
        <v>307</v>
      </c>
    </row>
    <row r="7" spans="1:5" x14ac:dyDescent="0.3">
      <c r="A7" t="s">
        <v>1040</v>
      </c>
      <c r="B7" t="s">
        <v>1041</v>
      </c>
      <c r="C7" t="s">
        <v>1042</v>
      </c>
      <c r="D7" t="s">
        <v>1043</v>
      </c>
      <c r="E7" t="s">
        <v>1044</v>
      </c>
    </row>
    <row r="8" spans="1:5" x14ac:dyDescent="0.3">
      <c r="A8" s="21">
        <v>186</v>
      </c>
      <c r="B8" s="22">
        <v>16651</v>
      </c>
      <c r="C8" s="21">
        <v>17807</v>
      </c>
      <c r="D8" s="23">
        <v>3.8973118279569863</v>
      </c>
      <c r="E8" s="21">
        <v>62</v>
      </c>
    </row>
    <row r="24" spans="1:8" x14ac:dyDescent="0.3">
      <c r="A24" s="24" t="s">
        <v>1045</v>
      </c>
      <c r="B24" t="s">
        <v>1040</v>
      </c>
      <c r="C24" t="s">
        <v>1059</v>
      </c>
      <c r="G24" s="24" t="s">
        <v>1045</v>
      </c>
      <c r="H24" t="s">
        <v>1040</v>
      </c>
    </row>
    <row r="25" spans="1:8" x14ac:dyDescent="0.3">
      <c r="A25" s="25" t="s">
        <v>1047</v>
      </c>
      <c r="B25" s="21">
        <v>10</v>
      </c>
      <c r="C25" s="21">
        <v>10</v>
      </c>
      <c r="G25" s="25" t="s">
        <v>1062</v>
      </c>
      <c r="H25" s="21">
        <v>34</v>
      </c>
    </row>
    <row r="26" spans="1:8" x14ac:dyDescent="0.3">
      <c r="A26" s="25" t="s">
        <v>1048</v>
      </c>
      <c r="B26" s="21">
        <v>11</v>
      </c>
      <c r="C26" s="21">
        <v>11</v>
      </c>
      <c r="G26" s="25" t="s">
        <v>1060</v>
      </c>
      <c r="H26" s="21">
        <v>29</v>
      </c>
    </row>
    <row r="27" spans="1:8" x14ac:dyDescent="0.3">
      <c r="A27" s="25" t="s">
        <v>1049</v>
      </c>
      <c r="B27" s="21">
        <v>30</v>
      </c>
      <c r="C27" s="21">
        <v>30</v>
      </c>
      <c r="G27" s="25" t="s">
        <v>1064</v>
      </c>
      <c r="H27" s="21">
        <v>18</v>
      </c>
    </row>
    <row r="28" spans="1:8" x14ac:dyDescent="0.3">
      <c r="A28" s="25" t="s">
        <v>1050</v>
      </c>
      <c r="B28" s="21">
        <v>23</v>
      </c>
      <c r="C28" s="21">
        <v>23</v>
      </c>
      <c r="G28" s="25" t="s">
        <v>1066</v>
      </c>
      <c r="H28" s="21">
        <v>29</v>
      </c>
    </row>
    <row r="29" spans="1:8" x14ac:dyDescent="0.3">
      <c r="A29" s="25" t="s">
        <v>1051</v>
      </c>
      <c r="B29" s="21">
        <v>22</v>
      </c>
      <c r="C29" s="21">
        <v>22</v>
      </c>
      <c r="G29" s="25" t="s">
        <v>1065</v>
      </c>
      <c r="H29" s="21">
        <v>28</v>
      </c>
    </row>
    <row r="30" spans="1:8" x14ac:dyDescent="0.3">
      <c r="A30" s="25" t="s">
        <v>1052</v>
      </c>
      <c r="B30" s="21">
        <v>11</v>
      </c>
      <c r="C30" s="21">
        <v>11</v>
      </c>
      <c r="G30" s="25" t="s">
        <v>1061</v>
      </c>
      <c r="H30" s="21">
        <v>23</v>
      </c>
    </row>
    <row r="31" spans="1:8" x14ac:dyDescent="0.3">
      <c r="A31" s="25" t="s">
        <v>1053</v>
      </c>
      <c r="B31" s="21">
        <v>17</v>
      </c>
      <c r="C31" s="21">
        <v>17</v>
      </c>
      <c r="G31" s="25" t="s">
        <v>1063</v>
      </c>
      <c r="H31" s="21">
        <v>25</v>
      </c>
    </row>
    <row r="32" spans="1:8" x14ac:dyDescent="0.3">
      <c r="A32" s="25" t="s">
        <v>1054</v>
      </c>
      <c r="B32" s="21">
        <v>12</v>
      </c>
      <c r="C32" s="21">
        <v>12</v>
      </c>
      <c r="G32" s="25" t="s">
        <v>1046</v>
      </c>
      <c r="H32" s="21">
        <v>186</v>
      </c>
    </row>
    <row r="33" spans="1:3" x14ac:dyDescent="0.3">
      <c r="A33" s="25" t="s">
        <v>1055</v>
      </c>
      <c r="B33" s="21">
        <v>13</v>
      </c>
      <c r="C33" s="21">
        <v>13</v>
      </c>
    </row>
    <row r="34" spans="1:3" x14ac:dyDescent="0.3">
      <c r="A34" s="25" t="s">
        <v>1056</v>
      </c>
      <c r="B34" s="21">
        <v>15</v>
      </c>
      <c r="C34" s="21">
        <v>15</v>
      </c>
    </row>
    <row r="35" spans="1:3" x14ac:dyDescent="0.3">
      <c r="A35" s="25" t="s">
        <v>1057</v>
      </c>
      <c r="B35" s="21">
        <v>8</v>
      </c>
      <c r="C35" s="21">
        <v>8</v>
      </c>
    </row>
    <row r="36" spans="1:3" x14ac:dyDescent="0.3">
      <c r="A36" s="25" t="s">
        <v>1058</v>
      </c>
      <c r="B36" s="21">
        <v>14</v>
      </c>
      <c r="C36" s="21">
        <v>14</v>
      </c>
    </row>
    <row r="37" spans="1:3" x14ac:dyDescent="0.3">
      <c r="A37" s="25" t="s">
        <v>1046</v>
      </c>
      <c r="B37" s="21">
        <v>186</v>
      </c>
      <c r="C37" s="21">
        <v>186</v>
      </c>
    </row>
    <row r="50" spans="1:9" x14ac:dyDescent="0.3">
      <c r="H50" t="s">
        <v>1073</v>
      </c>
      <c r="I50" t="str">
        <f>A66</f>
        <v>R04</v>
      </c>
    </row>
    <row r="51" spans="1:9" x14ac:dyDescent="0.3">
      <c r="E51" t="s">
        <v>1067</v>
      </c>
    </row>
    <row r="52" spans="1:9" x14ac:dyDescent="0.3">
      <c r="A52" s="24" t="s">
        <v>1045</v>
      </c>
      <c r="B52" t="s">
        <v>1040</v>
      </c>
      <c r="C52" t="s">
        <v>1041</v>
      </c>
      <c r="E52" t="s">
        <v>1068</v>
      </c>
      <c r="F52" t="s">
        <v>1069</v>
      </c>
      <c r="G52" t="s">
        <v>1070</v>
      </c>
      <c r="H52" t="s">
        <v>1071</v>
      </c>
      <c r="I52" t="s">
        <v>1072</v>
      </c>
    </row>
    <row r="53" spans="1:9" x14ac:dyDescent="0.3">
      <c r="A53" s="25" t="s">
        <v>11</v>
      </c>
      <c r="B53" s="21">
        <v>189</v>
      </c>
      <c r="C53" s="22">
        <v>18415</v>
      </c>
      <c r="E53" t="str">
        <f>A53</f>
        <v>R01</v>
      </c>
      <c r="F53">
        <f t="shared" ref="F53:G53" si="0">B53</f>
        <v>189</v>
      </c>
      <c r="G53" s="26">
        <f t="shared" si="0"/>
        <v>18415</v>
      </c>
      <c r="H53" t="e">
        <f>IF(E53=$I$50,F53,NA())</f>
        <v>#N/A</v>
      </c>
      <c r="I53" t="e">
        <f>IF(E53=$I$50,G53,NA())</f>
        <v>#N/A</v>
      </c>
    </row>
    <row r="54" spans="1:9" x14ac:dyDescent="0.3">
      <c r="A54" s="25" t="s">
        <v>9</v>
      </c>
      <c r="B54" s="21">
        <v>218</v>
      </c>
      <c r="C54" s="22">
        <v>20581</v>
      </c>
      <c r="E54" t="str">
        <f t="shared" ref="E54:E57" si="1">A54</f>
        <v>R02</v>
      </c>
      <c r="F54">
        <f t="shared" ref="F54:F57" si="2">B54</f>
        <v>218</v>
      </c>
      <c r="G54" s="26">
        <f t="shared" ref="G54:G57" si="3">C54</f>
        <v>20581</v>
      </c>
      <c r="H54" t="e">
        <f t="shared" ref="H54:H57" si="4">IF(E54=$I$50,F54,NA())</f>
        <v>#N/A</v>
      </c>
      <c r="I54" t="e">
        <f t="shared" ref="I54:I57" si="5">IF(E54=$I$50,G54,NA())</f>
        <v>#N/A</v>
      </c>
    </row>
    <row r="55" spans="1:9" x14ac:dyDescent="0.3">
      <c r="A55" s="25" t="s">
        <v>6</v>
      </c>
      <c r="B55" s="21">
        <v>207</v>
      </c>
      <c r="C55" s="22">
        <v>20872</v>
      </c>
      <c r="E55" t="str">
        <f t="shared" si="1"/>
        <v>R03</v>
      </c>
      <c r="F55">
        <f t="shared" si="2"/>
        <v>207</v>
      </c>
      <c r="G55" s="26">
        <f t="shared" si="3"/>
        <v>20872</v>
      </c>
      <c r="H55" t="e">
        <f t="shared" si="4"/>
        <v>#N/A</v>
      </c>
      <c r="I55" t="e">
        <f t="shared" si="5"/>
        <v>#N/A</v>
      </c>
    </row>
    <row r="56" spans="1:9" x14ac:dyDescent="0.3">
      <c r="A56" s="25" t="s">
        <v>13</v>
      </c>
      <c r="B56" s="21">
        <v>186</v>
      </c>
      <c r="C56" s="22">
        <v>16651</v>
      </c>
      <c r="E56" t="str">
        <f t="shared" si="1"/>
        <v>R04</v>
      </c>
      <c r="F56">
        <f t="shared" si="2"/>
        <v>186</v>
      </c>
      <c r="G56" s="26">
        <f t="shared" si="3"/>
        <v>16651</v>
      </c>
      <c r="H56">
        <f t="shared" si="4"/>
        <v>186</v>
      </c>
      <c r="I56">
        <f t="shared" si="5"/>
        <v>16651</v>
      </c>
    </row>
    <row r="57" spans="1:9" x14ac:dyDescent="0.3">
      <c r="A57" s="25" t="s">
        <v>10</v>
      </c>
      <c r="B57" s="21">
        <v>200</v>
      </c>
      <c r="C57" s="22">
        <v>20104</v>
      </c>
      <c r="E57" t="str">
        <f t="shared" si="1"/>
        <v>R05</v>
      </c>
      <c r="F57">
        <f t="shared" si="2"/>
        <v>200</v>
      </c>
      <c r="G57" s="26">
        <f t="shared" si="3"/>
        <v>20104</v>
      </c>
      <c r="H57" t="e">
        <f t="shared" si="4"/>
        <v>#N/A</v>
      </c>
      <c r="I57" t="e">
        <f t="shared" si="5"/>
        <v>#N/A</v>
      </c>
    </row>
    <row r="58" spans="1:9" x14ac:dyDescent="0.3">
      <c r="A58" s="25" t="s">
        <v>1046</v>
      </c>
      <c r="B58" s="21">
        <v>1000</v>
      </c>
      <c r="C58" s="22">
        <v>96623</v>
      </c>
    </row>
    <row r="65" spans="1:4" x14ac:dyDescent="0.3">
      <c r="A65" s="24" t="s">
        <v>1045</v>
      </c>
    </row>
    <row r="66" spans="1:4" x14ac:dyDescent="0.3">
      <c r="A66" s="27" t="s">
        <v>13</v>
      </c>
    </row>
    <row r="77" spans="1:4" x14ac:dyDescent="0.3">
      <c r="A77" s="24" t="s">
        <v>1040</v>
      </c>
      <c r="B77" s="24" t="s">
        <v>1074</v>
      </c>
    </row>
    <row r="78" spans="1:4" x14ac:dyDescent="0.3">
      <c r="A78" s="24" t="s">
        <v>1045</v>
      </c>
      <c r="B78" t="s">
        <v>999</v>
      </c>
      <c r="C78" t="s">
        <v>998</v>
      </c>
      <c r="D78" t="s">
        <v>1046</v>
      </c>
    </row>
    <row r="79" spans="1:4" x14ac:dyDescent="0.3">
      <c r="A79" s="25" t="s">
        <v>1002</v>
      </c>
      <c r="B79" s="21">
        <v>144</v>
      </c>
      <c r="C79" s="21">
        <v>132</v>
      </c>
      <c r="D79" s="21">
        <v>276</v>
      </c>
    </row>
    <row r="80" spans="1:4" x14ac:dyDescent="0.3">
      <c r="A80" s="25" t="s">
        <v>1001</v>
      </c>
      <c r="B80" s="21">
        <v>326</v>
      </c>
      <c r="C80" s="21">
        <v>63</v>
      </c>
      <c r="D80" s="21">
        <v>389</v>
      </c>
    </row>
    <row r="81" spans="1:4" x14ac:dyDescent="0.3">
      <c r="A81" s="25" t="s">
        <v>1000</v>
      </c>
      <c r="B81" s="21">
        <v>129</v>
      </c>
      <c r="C81" s="21">
        <v>206</v>
      </c>
      <c r="D81" s="21">
        <v>335</v>
      </c>
    </row>
    <row r="82" spans="1:4" x14ac:dyDescent="0.3">
      <c r="A82" s="25" t="s">
        <v>1046</v>
      </c>
      <c r="B82" s="21">
        <v>599</v>
      </c>
      <c r="C82" s="21">
        <v>401</v>
      </c>
      <c r="D82" s="21">
        <v>1000</v>
      </c>
    </row>
    <row r="89" spans="1:4" x14ac:dyDescent="0.3">
      <c r="A89" s="24" t="s">
        <v>1045</v>
      </c>
      <c r="B89" t="s">
        <v>1040</v>
      </c>
    </row>
    <row r="90" spans="1:4" x14ac:dyDescent="0.3">
      <c r="A90" s="25">
        <v>1</v>
      </c>
      <c r="B90" s="21">
        <v>3</v>
      </c>
    </row>
    <row r="91" spans="1:4" x14ac:dyDescent="0.3">
      <c r="A91" s="25">
        <v>2</v>
      </c>
      <c r="B91" s="21">
        <v>10</v>
      </c>
    </row>
    <row r="92" spans="1:4" x14ac:dyDescent="0.3">
      <c r="A92" s="25">
        <v>3</v>
      </c>
      <c r="B92" s="21">
        <v>41</v>
      </c>
    </row>
    <row r="93" spans="1:4" x14ac:dyDescent="0.3">
      <c r="A93" s="25">
        <v>4</v>
      </c>
      <c r="B93" s="21">
        <v>70</v>
      </c>
    </row>
    <row r="94" spans="1:4" x14ac:dyDescent="0.3">
      <c r="A94" s="25">
        <v>5</v>
      </c>
      <c r="B94" s="21">
        <v>62</v>
      </c>
    </row>
    <row r="95" spans="1:4" x14ac:dyDescent="0.3">
      <c r="A95" s="25" t="s">
        <v>1046</v>
      </c>
      <c r="B95" s="21">
        <v>186</v>
      </c>
    </row>
    <row r="106" spans="1:7" x14ac:dyDescent="0.3">
      <c r="A106" s="24" t="s">
        <v>1041</v>
      </c>
      <c r="B106" s="24" t="s">
        <v>1074</v>
      </c>
    </row>
    <row r="107" spans="1:7" x14ac:dyDescent="0.3">
      <c r="A107" s="24" t="s">
        <v>1045</v>
      </c>
      <c r="B107" t="s">
        <v>11</v>
      </c>
      <c r="C107" t="s">
        <v>9</v>
      </c>
      <c r="D107" t="s">
        <v>6</v>
      </c>
      <c r="E107" t="s">
        <v>13</v>
      </c>
      <c r="F107" t="s">
        <v>10</v>
      </c>
      <c r="G107" t="s">
        <v>1046</v>
      </c>
    </row>
    <row r="108" spans="1:7" x14ac:dyDescent="0.3">
      <c r="A108" s="25" t="s">
        <v>1002</v>
      </c>
    </row>
    <row r="109" spans="1:7" x14ac:dyDescent="0.3">
      <c r="A109" s="28" t="s">
        <v>20</v>
      </c>
      <c r="B109" s="22">
        <v>891</v>
      </c>
      <c r="C109" s="22">
        <v>1332</v>
      </c>
      <c r="D109" s="22">
        <v>1282</v>
      </c>
      <c r="E109" s="22">
        <v>739</v>
      </c>
      <c r="F109" s="22">
        <v>560</v>
      </c>
      <c r="G109" s="22">
        <v>4804</v>
      </c>
    </row>
    <row r="110" spans="1:7" x14ac:dyDescent="0.3">
      <c r="A110" s="28" t="s">
        <v>12</v>
      </c>
      <c r="B110" s="22">
        <v>1991</v>
      </c>
      <c r="C110" s="22">
        <v>1886</v>
      </c>
      <c r="D110" s="22">
        <v>1206</v>
      </c>
      <c r="E110" s="22">
        <v>884</v>
      </c>
      <c r="F110" s="22">
        <v>1722</v>
      </c>
      <c r="G110" s="22">
        <v>7689</v>
      </c>
    </row>
    <row r="111" spans="1:7" x14ac:dyDescent="0.3">
      <c r="A111" s="28" t="s">
        <v>8</v>
      </c>
      <c r="B111" s="22">
        <v>1163</v>
      </c>
      <c r="C111" s="22">
        <v>1180</v>
      </c>
      <c r="D111" s="22">
        <v>1616</v>
      </c>
      <c r="E111" s="22">
        <v>1043</v>
      </c>
      <c r="F111" s="22">
        <v>1747</v>
      </c>
      <c r="G111" s="22">
        <v>6749</v>
      </c>
    </row>
    <row r="112" spans="1:7" x14ac:dyDescent="0.3">
      <c r="A112" s="28" t="s">
        <v>16</v>
      </c>
      <c r="B112" s="22">
        <v>1438</v>
      </c>
      <c r="C112" s="22">
        <v>1616</v>
      </c>
      <c r="D112" s="22">
        <v>866</v>
      </c>
      <c r="E112" s="22">
        <v>829</v>
      </c>
      <c r="F112" s="22">
        <v>2070</v>
      </c>
      <c r="G112" s="22">
        <v>6819</v>
      </c>
    </row>
    <row r="113" spans="1:7" x14ac:dyDescent="0.3">
      <c r="A113" s="25" t="s">
        <v>1001</v>
      </c>
    </row>
    <row r="114" spans="1:7" x14ac:dyDescent="0.3">
      <c r="A114" s="28" t="s">
        <v>24</v>
      </c>
      <c r="B114" s="22">
        <v>1233</v>
      </c>
      <c r="C114" s="22">
        <v>223</v>
      </c>
      <c r="D114" s="22">
        <v>1680</v>
      </c>
      <c r="E114" s="22">
        <v>990</v>
      </c>
      <c r="F114" s="22">
        <v>1508</v>
      </c>
      <c r="G114" s="22">
        <v>5634</v>
      </c>
    </row>
    <row r="115" spans="1:7" x14ac:dyDescent="0.3">
      <c r="A115" s="28" t="s">
        <v>15</v>
      </c>
      <c r="B115" s="22">
        <v>1598</v>
      </c>
      <c r="C115" s="22">
        <v>1907</v>
      </c>
      <c r="D115" s="22">
        <v>869</v>
      </c>
      <c r="E115" s="22">
        <v>1426</v>
      </c>
      <c r="F115" s="22">
        <v>1416</v>
      </c>
      <c r="G115" s="22">
        <v>7216</v>
      </c>
    </row>
    <row r="116" spans="1:7" x14ac:dyDescent="0.3">
      <c r="A116" s="28" t="s">
        <v>5</v>
      </c>
      <c r="B116" s="22">
        <v>900</v>
      </c>
      <c r="C116" s="22">
        <v>1016</v>
      </c>
      <c r="D116" s="22">
        <v>960</v>
      </c>
      <c r="E116" s="22">
        <v>940</v>
      </c>
      <c r="F116" s="22">
        <v>1193</v>
      </c>
      <c r="G116" s="22">
        <v>5009</v>
      </c>
    </row>
    <row r="117" spans="1:7" x14ac:dyDescent="0.3">
      <c r="A117" s="28" t="s">
        <v>18</v>
      </c>
      <c r="B117" s="22">
        <v>900</v>
      </c>
      <c r="C117" s="22">
        <v>1470</v>
      </c>
      <c r="D117" s="22">
        <v>1617</v>
      </c>
      <c r="E117" s="22">
        <v>1314</v>
      </c>
      <c r="F117" s="22">
        <v>941</v>
      </c>
      <c r="G117" s="22">
        <v>6242</v>
      </c>
    </row>
    <row r="118" spans="1:7" x14ac:dyDescent="0.3">
      <c r="A118" s="28" t="s">
        <v>14</v>
      </c>
      <c r="B118" s="22">
        <v>1255</v>
      </c>
      <c r="C118" s="22">
        <v>516</v>
      </c>
      <c r="D118" s="22">
        <v>1874</v>
      </c>
      <c r="E118" s="22">
        <v>1863</v>
      </c>
      <c r="F118" s="22">
        <v>1722</v>
      </c>
      <c r="G118" s="22">
        <v>7230</v>
      </c>
    </row>
    <row r="119" spans="1:7" x14ac:dyDescent="0.3">
      <c r="A119" s="28" t="s">
        <v>19</v>
      </c>
      <c r="B119" s="22">
        <v>1138</v>
      </c>
      <c r="C119" s="22">
        <v>1898</v>
      </c>
      <c r="D119" s="22">
        <v>1482</v>
      </c>
      <c r="E119" s="22">
        <v>846</v>
      </c>
      <c r="F119" s="22">
        <v>1154</v>
      </c>
      <c r="G119" s="22">
        <v>6518</v>
      </c>
    </row>
    <row r="120" spans="1:7" x14ac:dyDescent="0.3">
      <c r="A120" s="25" t="s">
        <v>1000</v>
      </c>
    </row>
    <row r="121" spans="1:7" x14ac:dyDescent="0.3">
      <c r="A121" s="28" t="s">
        <v>17</v>
      </c>
      <c r="B121" s="22">
        <v>1655</v>
      </c>
      <c r="C121" s="22">
        <v>805</v>
      </c>
      <c r="D121" s="22">
        <v>2263</v>
      </c>
      <c r="E121" s="22">
        <v>987</v>
      </c>
      <c r="F121" s="22">
        <v>1075</v>
      </c>
      <c r="G121" s="22">
        <v>6785</v>
      </c>
    </row>
    <row r="122" spans="1:7" x14ac:dyDescent="0.3">
      <c r="A122" s="28" t="s">
        <v>23</v>
      </c>
      <c r="B122" s="22">
        <v>1104</v>
      </c>
      <c r="C122" s="22">
        <v>2280</v>
      </c>
      <c r="D122" s="22">
        <v>1445</v>
      </c>
      <c r="E122" s="22">
        <v>1722</v>
      </c>
      <c r="F122" s="22">
        <v>1196</v>
      </c>
      <c r="G122" s="22">
        <v>7747</v>
      </c>
    </row>
    <row r="123" spans="1:7" x14ac:dyDescent="0.3">
      <c r="A123" s="28" t="s">
        <v>7</v>
      </c>
      <c r="B123" s="22">
        <v>372</v>
      </c>
      <c r="C123" s="22">
        <v>1818</v>
      </c>
      <c r="D123" s="22">
        <v>1346</v>
      </c>
      <c r="E123" s="22">
        <v>1156</v>
      </c>
      <c r="F123" s="22">
        <v>1484</v>
      </c>
      <c r="G123" s="22">
        <v>6176</v>
      </c>
    </row>
    <row r="124" spans="1:7" x14ac:dyDescent="0.3">
      <c r="A124" s="28" t="s">
        <v>22</v>
      </c>
      <c r="B124" s="22">
        <v>1415</v>
      </c>
      <c r="C124" s="22">
        <v>1271</v>
      </c>
      <c r="D124" s="22">
        <v>1214</v>
      </c>
      <c r="E124" s="22">
        <v>1135</v>
      </c>
      <c r="F124" s="22">
        <v>1566</v>
      </c>
      <c r="G124" s="22">
        <v>6601</v>
      </c>
    </row>
    <row r="125" spans="1:7" x14ac:dyDescent="0.3">
      <c r="A125" s="28" t="s">
        <v>21</v>
      </c>
      <c r="B125" s="22">
        <v>1362</v>
      </c>
      <c r="C125" s="22">
        <v>1363</v>
      </c>
      <c r="D125" s="22">
        <v>1152</v>
      </c>
      <c r="E125" s="22">
        <v>777</v>
      </c>
      <c r="F125" s="22">
        <v>750</v>
      </c>
      <c r="G125" s="22">
        <v>5404</v>
      </c>
    </row>
    <row r="126" spans="1:7" x14ac:dyDescent="0.3">
      <c r="A126" s="25" t="s">
        <v>1046</v>
      </c>
      <c r="B126" s="22">
        <v>18415</v>
      </c>
      <c r="C126" s="22">
        <v>20581</v>
      </c>
      <c r="D126" s="22">
        <v>20872</v>
      </c>
      <c r="E126" s="22">
        <v>16651</v>
      </c>
      <c r="F126" s="22">
        <v>20104</v>
      </c>
      <c r="G126" s="22">
        <v>96623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DASHBOARD PROJECT</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abhinav kp</cp:lastModifiedBy>
  <dcterms:created xsi:type="dcterms:W3CDTF">2021-03-14T20:21:32Z</dcterms:created>
  <dcterms:modified xsi:type="dcterms:W3CDTF">2026-05-09T09:57:01Z</dcterms:modified>
</cp:coreProperties>
</file>